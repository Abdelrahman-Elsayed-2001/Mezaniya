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ezaniya\"/>
    </mc:Choice>
  </mc:AlternateContent>
  <xr:revisionPtr revIDLastSave="0" documentId="13_ncr:1_{D4EA9435-8907-4728-A767-092FF66C4B7A}" xr6:coauthVersionLast="47" xr6:coauthVersionMax="47" xr10:uidLastSave="{00000000-0000-0000-0000-000000000000}"/>
  <bookViews>
    <workbookView xWindow="-120" yWindow="-120" windowWidth="29040" windowHeight="15720" xr2:uid="{B9CDE172-3C6A-4122-8E24-C438205D394F}"/>
  </bookViews>
  <sheets>
    <sheet name="Dashboard" sheetId="1" r:id="rId1"/>
    <sheet name="Backend" sheetId="2" r:id="rId2"/>
  </sheets>
  <definedNames>
    <definedName name="TypesList" comment="قائمة أنواع المصروفات - تتمدد تلقائياً">OFFSET(Backend!$A$2,0,0,COUNTA(Backend!$A:$A)-1,1)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1" i="1" l="1"/>
  <c r="G50" i="1"/>
  <c r="B58" i="1"/>
  <c r="F18" i="1"/>
  <c r="C75" i="1"/>
  <c r="D48" i="2"/>
  <c r="D47" i="2"/>
  <c r="D46" i="2"/>
  <c r="D45" i="2"/>
  <c r="D44" i="2"/>
  <c r="D43" i="2"/>
  <c r="D42" i="2"/>
  <c r="D41" i="2"/>
  <c r="D40" i="2"/>
  <c r="D39" i="2"/>
  <c r="C48" i="2"/>
  <c r="C47" i="2"/>
  <c r="C46" i="2"/>
  <c r="C45" i="2"/>
  <c r="C44" i="2"/>
  <c r="C43" i="2"/>
  <c r="C42" i="2"/>
  <c r="C41" i="2"/>
  <c r="C40" i="2"/>
  <c r="C39" i="2"/>
  <c r="B75" i="1"/>
  <c r="E75" i="1"/>
  <c r="F74" i="1"/>
  <c r="I48" i="2" s="1"/>
  <c r="G74" i="1"/>
  <c r="I74" i="1"/>
  <c r="F73" i="1"/>
  <c r="I47" i="2" s="1"/>
  <c r="G73" i="1"/>
  <c r="I73" i="1"/>
  <c r="F72" i="1"/>
  <c r="I46" i="2" s="1"/>
  <c r="G72" i="1"/>
  <c r="I72" i="1"/>
  <c r="F71" i="1"/>
  <c r="I45" i="2" s="1"/>
  <c r="G71" i="1"/>
  <c r="I71" i="1"/>
  <c r="F70" i="1"/>
  <c r="I44" i="2" s="1"/>
  <c r="G70" i="1"/>
  <c r="I70" i="1"/>
  <c r="B57" i="1"/>
  <c r="D34" i="2" s="1"/>
  <c r="D50" i="1"/>
  <c r="C50" i="1"/>
  <c r="J23" i="1"/>
  <c r="J7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D29" i="2"/>
  <c r="D32" i="2" s="1"/>
  <c r="G11" i="2"/>
  <c r="H11" i="2" s="1"/>
  <c r="G12" i="2"/>
  <c r="H12" i="2" s="1"/>
  <c r="G10" i="2"/>
  <c r="H10" i="2" s="1"/>
  <c r="F25" i="1"/>
  <c r="F26" i="1"/>
  <c r="F27" i="1"/>
  <c r="F28" i="1"/>
  <c r="F29" i="1"/>
  <c r="F30" i="1"/>
  <c r="F31" i="1"/>
  <c r="F32" i="1"/>
  <c r="F33" i="1"/>
  <c r="F16" i="1"/>
  <c r="F17" i="1"/>
  <c r="F19" i="1"/>
  <c r="F20" i="1"/>
  <c r="F21" i="1"/>
  <c r="F22" i="1"/>
  <c r="F23" i="1"/>
  <c r="F24" i="1"/>
  <c r="G5" i="2"/>
  <c r="H5" i="2" s="1"/>
  <c r="G6" i="2"/>
  <c r="H6" i="2" s="1"/>
  <c r="G7" i="2"/>
  <c r="H7" i="2" s="1"/>
  <c r="G8" i="2"/>
  <c r="H8" i="2" s="1"/>
  <c r="G9" i="2"/>
  <c r="B11" i="1"/>
  <c r="J5" i="1" s="1"/>
  <c r="F15" i="1"/>
  <c r="J8" i="1" s="1"/>
  <c r="J35" i="1" l="1"/>
  <c r="K35" i="1"/>
  <c r="B59" i="1"/>
  <c r="D51" i="2" s="1"/>
  <c r="F53" i="1"/>
  <c r="I11" i="2"/>
  <c r="I12" i="2"/>
  <c r="I8" i="2"/>
  <c r="I7" i="2"/>
  <c r="I5" i="2"/>
  <c r="I10" i="2"/>
  <c r="I6" i="2"/>
  <c r="F50" i="1"/>
  <c r="J26" i="1"/>
  <c r="J9" i="1"/>
  <c r="K9" i="1" s="1"/>
  <c r="H9" i="2"/>
  <c r="I9" i="2" s="1"/>
  <c r="D31" i="2"/>
  <c r="J24" i="1"/>
  <c r="K8" i="1"/>
  <c r="K7" i="1"/>
  <c r="K5" i="1"/>
  <c r="K37" i="1" l="1"/>
  <c r="J37" i="1"/>
  <c r="K36" i="1"/>
  <c r="J36" i="1"/>
  <c r="J6" i="1"/>
  <c r="F52" i="1"/>
  <c r="E39" i="2"/>
  <c r="E46" i="2"/>
  <c r="E45" i="2"/>
  <c r="E44" i="2"/>
  <c r="E40" i="2"/>
  <c r="E48" i="2"/>
  <c r="E47" i="2"/>
  <c r="E43" i="2"/>
  <c r="E42" i="2"/>
  <c r="E41" i="2"/>
  <c r="D24" i="2"/>
  <c r="J27" i="1"/>
  <c r="J38" i="1" l="1"/>
  <c r="K38" i="1"/>
  <c r="J10" i="1"/>
  <c r="K6" i="1"/>
  <c r="F48" i="2"/>
  <c r="F47" i="2"/>
  <c r="F39" i="2"/>
  <c r="F46" i="2"/>
  <c r="F44" i="2"/>
  <c r="F45" i="2"/>
  <c r="F43" i="2"/>
  <c r="F41" i="2"/>
  <c r="F42" i="2"/>
  <c r="F40" i="2"/>
  <c r="J28" i="1"/>
  <c r="E24" i="2"/>
  <c r="J11" i="1" l="1"/>
  <c r="J33" i="1"/>
  <c r="K33" i="1"/>
  <c r="K34" i="1"/>
  <c r="J34" i="1"/>
  <c r="D22" i="2"/>
  <c r="J20" i="1" s="1"/>
  <c r="H13" i="2"/>
  <c r="I13" i="2" s="1"/>
  <c r="K10" i="1"/>
  <c r="D28" i="2"/>
  <c r="D15" i="2"/>
  <c r="G48" i="2"/>
  <c r="H48" i="2" s="1"/>
  <c r="D74" i="1" s="1"/>
  <c r="G47" i="2"/>
  <c r="H47" i="2" s="1"/>
  <c r="D73" i="1" s="1"/>
  <c r="G46" i="2"/>
  <c r="H46" i="2" s="1"/>
  <c r="D72" i="1" s="1"/>
  <c r="G45" i="2"/>
  <c r="H45" i="2" s="1"/>
  <c r="D71" i="1" s="1"/>
  <c r="G44" i="2"/>
  <c r="H44" i="2" s="1"/>
  <c r="D70" i="1" s="1"/>
  <c r="G39" i="2"/>
  <c r="H39" i="2" s="1"/>
  <c r="D65" i="1" s="1"/>
  <c r="G40" i="2"/>
  <c r="H40" i="2" s="1"/>
  <c r="D66" i="1" s="1"/>
  <c r="G41" i="2"/>
  <c r="H41" i="2" s="1"/>
  <c r="D67" i="1" s="1"/>
  <c r="G43" i="2"/>
  <c r="H43" i="2" s="1"/>
  <c r="D69" i="1" s="1"/>
  <c r="G42" i="2"/>
  <c r="H42" i="2" s="1"/>
  <c r="D68" i="1" s="1"/>
  <c r="K39" i="1" l="1"/>
  <c r="J39" i="1"/>
  <c r="K20" i="1"/>
  <c r="J41" i="1"/>
  <c r="K41" i="1"/>
  <c r="E15" i="2"/>
  <c r="D33" i="2"/>
  <c r="D30" i="2"/>
  <c r="D16" i="2" s="1"/>
  <c r="E16" i="2" s="1"/>
  <c r="G68" i="1"/>
  <c r="F68" i="1"/>
  <c r="I42" i="2" s="1"/>
  <c r="F65" i="1"/>
  <c r="G65" i="1"/>
  <c r="D75" i="1"/>
  <c r="B60" i="1" a="1"/>
  <c r="F69" i="1"/>
  <c r="G69" i="1"/>
  <c r="F66" i="1"/>
  <c r="G66" i="1"/>
  <c r="G67" i="1"/>
  <c r="F67" i="1"/>
  <c r="D17" i="2" l="1"/>
  <c r="J29" i="1"/>
  <c r="J15" i="1"/>
  <c r="K15" i="1" s="1"/>
  <c r="E25" i="2"/>
  <c r="D76" i="1"/>
  <c r="I39" i="2"/>
  <c r="F75" i="1"/>
  <c r="I43" i="2"/>
  <c r="I40" i="2"/>
  <c r="I41" i="2"/>
  <c r="B61" i="1"/>
  <c r="D25" i="2"/>
  <c r="K40" i="1" l="1"/>
  <c r="J40" i="1"/>
  <c r="J42" i="1" s="1"/>
  <c r="K42" i="1" s="1"/>
  <c r="D50" i="2"/>
  <c r="E17" i="2"/>
  <c r="J16" i="1"/>
  <c r="K16" i="1" s="1"/>
  <c r="D18" i="2"/>
  <c r="B62" i="1"/>
  <c r="I75" i="1"/>
  <c r="G75" i="1"/>
  <c r="J46" i="2" l="1"/>
  <c r="H72" i="1" s="1"/>
  <c r="J48" i="2"/>
  <c r="H74" i="1" s="1"/>
  <c r="J47" i="2"/>
  <c r="H73" i="1" s="1"/>
  <c r="J45" i="2"/>
  <c r="H71" i="1" s="1"/>
  <c r="J44" i="2"/>
  <c r="H70" i="1" s="1"/>
  <c r="J43" i="2"/>
  <c r="H69" i="1" s="1"/>
  <c r="I69" i="1" s="1"/>
  <c r="J41" i="2"/>
  <c r="H67" i="1" s="1"/>
  <c r="I67" i="1" s="1"/>
  <c r="J39" i="2"/>
  <c r="H65" i="1" s="1"/>
  <c r="J42" i="2"/>
  <c r="H68" i="1" s="1"/>
  <c r="I68" i="1" s="1"/>
  <c r="J40" i="2"/>
  <c r="H66" i="1" s="1"/>
  <c r="I66" i="1" s="1"/>
  <c r="E18" i="2"/>
  <c r="D21" i="2"/>
  <c r="J17" i="1"/>
  <c r="K17" i="1" s="1"/>
  <c r="D19" i="2"/>
  <c r="J18" i="1" s="1"/>
  <c r="D20" i="2"/>
  <c r="J19" i="1" s="1"/>
  <c r="I65" i="1" l="1"/>
  <c r="H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AbdoH</author>
  </authors>
  <commentList>
    <comment ref="B10" authorId="0" shapeId="0" xr:uid="{4F2820BB-FEE4-4661-996D-186F85AAE7BD}">
      <text>
        <r>
          <rPr>
            <b/>
            <sz val="9"/>
            <color indexed="81"/>
            <rFont val="Tahoma"/>
          </rPr>
          <t>AbdoH:</t>
        </r>
        <r>
          <rPr>
            <sz val="9"/>
            <color indexed="81"/>
            <rFont val="Tahoma"/>
          </rPr>
          <t xml:space="preserve">
اكتب هنا المبلغ اللي هتسحبه من المدخرات لاستخدامه في المصروفات. يُضاف لإجمالي الدخل ويُخصم تلقائياً من رصيد المدخرات (قسم الادخار والأهداف).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<sst xmlns="http://schemas.openxmlformats.org/spreadsheetml/2006/main" count="141" uniqueCount="120">
  <si>
    <t>الدخل</t>
  </si>
  <si>
    <t>كاش</t>
  </si>
  <si>
    <t>عدد الدفعات</t>
  </si>
  <si>
    <t>البند</t>
  </si>
  <si>
    <t>ميزانيتي الشهرية</t>
  </si>
  <si>
    <t>المصدر</t>
  </si>
  <si>
    <t>المبلغ</t>
  </si>
  <si>
    <t>إجمالي الدخل</t>
  </si>
  <si>
    <t>المصروفات والالتزامات</t>
  </si>
  <si>
    <t>النوع</t>
  </si>
  <si>
    <t>تقسيط (إجمالي)</t>
  </si>
  <si>
    <t>الشهري</t>
  </si>
  <si>
    <t>كمالي</t>
  </si>
  <si>
    <t>دين/أقساط</t>
  </si>
  <si>
    <t>أساسي</t>
  </si>
  <si>
    <t>إجمالي المصروفات الشهرية</t>
  </si>
  <si>
    <t>الملخص</t>
  </si>
  <si>
    <t>إجمالي المصروفات</t>
  </si>
  <si>
    <t>الحالة</t>
  </si>
  <si>
    <t>ادخار ممتاز إذا ≥</t>
  </si>
  <si>
    <t>ادخار جيد إذا ≥</t>
  </si>
  <si>
    <t>الحد الآمن للأقساط ≤</t>
  </si>
  <si>
    <t>الحد المقترح للكماليات ≤</t>
  </si>
  <si>
    <t>معايير التقييم</t>
  </si>
  <si>
    <t>صندوق الطوارئ</t>
  </si>
  <si>
    <t>مبلغ الطوارئ الحالي</t>
  </si>
  <si>
    <t>الحد الأدنى للطوارئ</t>
  </si>
  <si>
    <t>المتبقي لاكتمال الطوارئ</t>
  </si>
  <si>
    <t>حالة الطوارئ</t>
  </si>
  <si>
    <t>نسبة الاستقطاع للطوارئ من الصافي</t>
  </si>
  <si>
    <t>أهداف الادخار</t>
  </si>
  <si>
    <t>الهدف</t>
  </si>
  <si>
    <t>المبلغ المطلوب</t>
  </si>
  <si>
    <t>المتبقي</t>
  </si>
  <si>
    <t>نسبة الإنجاز</t>
  </si>
  <si>
    <t>المقترح شهرياً</t>
  </si>
  <si>
    <t>الإجمالي</t>
  </si>
  <si>
    <t>خطة توزيع الصافي الشهري</t>
  </si>
  <si>
    <t>% من الصافي</t>
  </si>
  <si>
    <t>الصرف الآمن يومياً</t>
  </si>
  <si>
    <t>الصرف الآمن أسبوعياً</t>
  </si>
  <si>
    <t>الصرف الآمن % من الدخل</t>
  </si>
  <si>
    <t>% ادخار من الباقي (طوارئ مكتمل)</t>
  </si>
  <si>
    <t>1) لصندوق الطوارئ</t>
  </si>
  <si>
    <t>2) للادخار والأهداف</t>
  </si>
  <si>
    <t>3) الصرف الآمن - اصرف وانت مطمن</t>
  </si>
  <si>
    <t>ادخار</t>
  </si>
  <si>
    <t>انواع المصروفات</t>
  </si>
  <si>
    <t>طوارئ</t>
  </si>
  <si>
    <t>إضافة من جدول المصروفات</t>
  </si>
  <si>
    <t>مبلغ الطوارئ بعد الإضافة</t>
  </si>
  <si>
    <t>مرجع: (الأساسي + الأقساط) × 3 أشهر</t>
  </si>
  <si>
    <t>الادخار والأهداف</t>
  </si>
  <si>
    <t>المدخر الحالي (عام)</t>
  </si>
  <si>
    <t>غير موزع (متاح للتوزيع)</t>
  </si>
  <si>
    <t>حالة التوزيع</t>
  </si>
  <si>
    <t>بيانات الرسوم البيانية (تلقائي)</t>
  </si>
  <si>
    <t>الفائض (الصافي)</t>
  </si>
  <si>
    <t>التقدم</t>
  </si>
  <si>
    <t>المتوفر</t>
  </si>
  <si>
    <t>■ جداول إدخال</t>
  </si>
  <si>
    <t>■ جداول قرار ونتائج</t>
  </si>
  <si>
    <t xml:space="preserve"> أضف أي نوع جديد تحت قائمة الأنواع (عمود A) وسيظهر تلقائياً ←</t>
  </si>
  <si>
    <t>% من الدخل</t>
  </si>
  <si>
    <t>منها: الأقساط</t>
  </si>
  <si>
    <t>منها: الكماليات</t>
  </si>
  <si>
    <t>منها: الأساسيات</t>
  </si>
  <si>
    <t>الصافي (الفائض)</t>
  </si>
  <si>
    <t>الاقتراحات الشهرية</t>
  </si>
  <si>
    <t>العطاء والمساندة</t>
  </si>
  <si>
    <t>تحويل خارجي</t>
  </si>
  <si>
    <t>الاستثمار</t>
  </si>
  <si>
    <t>النسبة</t>
  </si>
  <si>
    <t>تفاصيل حساب الاقتراحات</t>
  </si>
  <si>
    <t>الأساس: الصافي قبل الادخار والطوارئ</t>
  </si>
  <si>
    <t>الطوارئ: المتبقي قبل جدول المصروفات</t>
  </si>
  <si>
    <t>الطوارئ: المحطوط في جدول المصروفات</t>
  </si>
  <si>
    <t>الادخار: النسبة المطبقة</t>
  </si>
  <si>
    <t>الادخار: المحطوط في جدول المصروفات</t>
  </si>
  <si>
    <t>الطوارئ: المستهدف (الأساس × النسبة)</t>
  </si>
  <si>
    <t>الادخار: المستهدف (أساس الادخار × النسبة)</t>
  </si>
  <si>
    <t xml:space="preserve">% ادخار من الباقي (طوارئ غير مكتمل) </t>
  </si>
  <si>
    <t>الأولوية %</t>
  </si>
  <si>
    <t>اقتراح التوزيع (من المدخر)</t>
  </si>
  <si>
    <t>توزيع يدوي (اختياري)</t>
  </si>
  <si>
    <t>أشهر متوقعة / الحالة</t>
  </si>
  <si>
    <t>الموزع على الأهداف (مقترح + يدوي)</t>
  </si>
  <si>
    <t>التوزيع - جولة 1</t>
  </si>
  <si>
    <t>وزن جولة 2 (غير مكتمل)</t>
  </si>
  <si>
    <t>التوزيع - جولة 2</t>
  </si>
  <si>
    <t>اقتراح التوزيع</t>
  </si>
  <si>
    <t>وزن الشهري (باقي له مبلغ)</t>
  </si>
  <si>
    <t>المتاح للأهداف شهرياً (مقترح الادخار + المحطوط في الجدول)</t>
  </si>
  <si>
    <t>الأولوية الفعلية</t>
  </si>
  <si>
    <t>المدخر المتاح للتوزيع بالأولوية (بعد خصم اليدوي)</t>
  </si>
  <si>
    <t>توزيع المدخر على الأهداف (الأولوية % من المدخر المتاح بعد خصم اليدوي)</t>
  </si>
  <si>
    <t>أشهر متوقعة للاكتمال في حال التقيد بالمقترح</t>
  </si>
  <si>
    <t>سحب من المدخرات</t>
  </si>
  <si>
    <t>سحب للدخل (يُخصم)</t>
  </si>
  <si>
    <t>إجمالي المدخر بعد الإضافة والسحب</t>
  </si>
  <si>
    <t>حالة الدفع</t>
  </si>
  <si>
    <t>✅ المدفوع فعلاً</t>
  </si>
  <si>
    <t>⏳ مخطط ولسه ما اندفع (فلوسه لسه معاك)</t>
  </si>
  <si>
    <t>💰 الرصيد الفعلي معاك الآن (الدخل − المدفوع)</t>
  </si>
  <si>
    <t>الصافي المتاح (بعد المصروفات وبدون السحب)</t>
  </si>
  <si>
    <t>↩️ رجّع للمدخرات (الجزء اللي ما اتصرفش من السحب)</t>
  </si>
  <si>
    <t>↩️ رجّع للمدخرات (سداد السحب)</t>
  </si>
  <si>
    <t>⚠️ التحذيرات</t>
  </si>
  <si>
    <t>التحذير</t>
  </si>
  <si>
    <t>التفاصيل</t>
  </si>
  <si>
    <t>عجز في الميزانية</t>
  </si>
  <si>
    <t>مزنوق - بتصرف من المدخرات</t>
  </si>
  <si>
    <t>السحب أكبر من المدخر المتاح</t>
  </si>
  <si>
    <t>أقساط مرتفعة</t>
  </si>
  <si>
    <t>كماليات مرتفعة</t>
  </si>
  <si>
    <t>صندوق الطوارئ ناقص</t>
  </si>
  <si>
    <t>الفائض قليل</t>
  </si>
  <si>
    <t>الموزع على الأهداف أكبر من المتوفر</t>
  </si>
  <si>
    <t>لازم ترجّع فلوس للمدخرات</t>
  </si>
  <si>
    <t>عدد التحذيرات النشطة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</si>
</sst>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ر.س&quot;;\(#,##0\ &quot;ر.س&quot;\);&quot;-&quot;"/>
    <numFmt numFmtId="165" formatCode="0;;&quot;-&quot;"/>
    <numFmt numFmtId="166" formatCode="0.0%"/>
    <numFmt numFmtId="167" formatCode="0\ &quot;شهر&quot;;;&quot;-&quot;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8"/>
      <color rgb="FFFFFFFF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3"/>
      <color rgb="FF00703C"/>
      <name val="Aptos Narrow"/>
      <family val="2"/>
      <scheme val="minor"/>
    </font>
    <font>
      <b/>
      <sz val="11"/>
      <color rgb="FF00703C"/>
      <name val="Aptos Narrow"/>
      <family val="2"/>
      <scheme val="minor"/>
    </font>
    <font>
      <sz val="11"/>
      <color rgb="FF00703C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11"/>
      <color rgb="FF595959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color rgb="FF00703C"/>
      <name val="Aptos Narrow"/>
      <scheme val="minor"/>
    </font>
    <font>
      <sz val="11"/>
      <color rgb="FF595959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3">
    <xf numFmtId="0" fontId="0" fillId="0" borderId="0" xfId="0"/>
    <xf numFmtId="0" fontId="0" fillId="0" borderId="0" xfId="0" applyAlignment="1" applyProtection="1">
      <alignment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10" fillId="3" borderId="0" xfId="0" applyFont="1" applyFill="1" applyAlignment="1" applyProtection="1">
      <alignment horizontal="center" vertical="center" readingOrder="2"/>
      <protection locked="0"/>
    </xf>
    <xf numFmtId="0" fontId="4" fillId="0" borderId="0" xfId="0" applyFont="1" applyAlignment="1" applyProtection="1">
      <alignment horizontal="center" vertical="center" readingOrder="2"/>
      <protection locked="0"/>
    </xf>
    <xf numFmtId="0" fontId="8" fillId="0" borderId="8" xfId="0" applyFont="1" applyBorder="1" applyAlignment="1" applyProtection="1">
      <alignment horizontal="center" vertical="center" readingOrder="2"/>
      <protection locked="0"/>
    </xf>
    <xf numFmtId="164" fontId="7" fillId="0" borderId="8" xfId="0" applyNumberFormat="1" applyFont="1" applyBorder="1" applyAlignment="1" applyProtection="1">
      <alignment horizontal="center" vertical="center" readingOrder="2"/>
      <protection locked="0"/>
    </xf>
    <xf numFmtId="0" fontId="16" fillId="0" borderId="0" xfId="0" applyFont="1" applyAlignment="1" applyProtection="1">
      <alignment horizontal="center" vertical="center" readingOrder="2"/>
      <protection locked="0"/>
    </xf>
    <xf numFmtId="0" fontId="7" fillId="0" borderId="8" xfId="0" applyFont="1" applyBorder="1" applyAlignment="1" applyProtection="1">
      <alignment horizontal="center" vertical="center" readingOrder="2"/>
      <protection locked="0"/>
    </xf>
    <xf numFmtId="165" fontId="7" fillId="0" borderId="8" xfId="0" applyNumberFormat="1" applyFont="1" applyBorder="1" applyAlignment="1" applyProtection="1">
      <alignment horizontal="center" vertical="center" readingOrder="2"/>
      <protection locked="0"/>
    </xf>
    <xf numFmtId="0" fontId="13" fillId="0" borderId="8" xfId="0" applyFont="1" applyBorder="1" applyAlignment="1" applyProtection="1">
      <alignment horizontal="center" vertical="center" readingOrder="2"/>
      <protection locked="0"/>
    </xf>
    <xf numFmtId="164" fontId="8" fillId="8" borderId="8" xfId="0" applyNumberFormat="1" applyFont="1" applyFill="1" applyBorder="1" applyAlignment="1" applyProtection="1">
      <alignment horizontal="center" vertical="center" readingOrder="2"/>
      <protection locked="0"/>
    </xf>
    <xf numFmtId="0" fontId="0" fillId="9" borderId="0" xfId="0" applyFill="1" applyAlignment="1" applyProtection="1">
      <alignment readingOrder="2"/>
      <protection locked="0"/>
    </xf>
    <xf numFmtId="164" fontId="8" fillId="0" borderId="8" xfId="0" applyNumberFormat="1" applyFont="1" applyBorder="1" applyAlignment="1" applyProtection="1">
      <alignment horizontal="center" vertical="center" readingOrder="2"/>
      <protection locked="0"/>
    </xf>
    <xf numFmtId="9" fontId="8" fillId="8" borderId="8" xfId="0" applyNumberFormat="1" applyFont="1" applyFill="1" applyBorder="1" applyAlignment="1" applyProtection="1">
      <alignment horizontal="center" vertical="center" readingOrder="2"/>
      <protection locked="0"/>
    </xf>
    <xf numFmtId="166" fontId="16" fillId="0" borderId="8" xfId="0" applyNumberFormat="1" applyFont="1" applyBorder="1" applyAlignment="1">
      <alignment horizontal="center" vertical="center" readingOrder="2"/>
    </xf>
    <xf numFmtId="166" fontId="21" fillId="0" borderId="8" xfId="0" applyNumberFormat="1" applyFont="1" applyBorder="1" applyAlignment="1">
      <alignment horizontal="center" vertical="center" readingOrder="2"/>
    </xf>
    <xf numFmtId="166" fontId="22" fillId="0" borderId="8" xfId="0" applyNumberFormat="1" applyFont="1" applyBorder="1" applyAlignment="1">
      <alignment horizontal="center" vertical="center" readingOrder="2"/>
    </xf>
    <xf numFmtId="164" fontId="6" fillId="5" borderId="8" xfId="0" applyNumberFormat="1" applyFont="1" applyFill="1" applyBorder="1" applyAlignment="1">
      <alignment horizontal="center" vertical="center" readingOrder="2"/>
    </xf>
    <xf numFmtId="164" fontId="16" fillId="0" borderId="8" xfId="0" applyNumberFormat="1" applyFont="1" applyBorder="1" applyAlignment="1">
      <alignment horizontal="center" vertical="center" readingOrder="2"/>
    </xf>
    <xf numFmtId="164" fontId="21" fillId="0" borderId="8" xfId="0" applyNumberFormat="1" applyFont="1" applyBorder="1" applyAlignment="1">
      <alignment horizontal="center" vertical="center" readingOrder="2"/>
    </xf>
    <xf numFmtId="164" fontId="22" fillId="0" borderId="8" xfId="0" applyNumberFormat="1" applyFont="1" applyBorder="1" applyAlignment="1">
      <alignment horizontal="center" vertical="center" readingOrder="2"/>
    </xf>
    <xf numFmtId="166" fontId="11" fillId="7" borderId="8" xfId="0" applyNumberFormat="1" applyFont="1" applyFill="1" applyBorder="1" applyAlignment="1">
      <alignment horizontal="center" vertical="center" readingOrder="2"/>
    </xf>
    <xf numFmtId="164" fontId="11" fillId="7" borderId="8" xfId="0" applyNumberFormat="1" applyFont="1" applyFill="1" applyBorder="1" applyAlignment="1">
      <alignment horizontal="center" vertical="center" readingOrder="2"/>
    </xf>
    <xf numFmtId="164" fontId="13" fillId="0" borderId="8" xfId="0" applyNumberFormat="1" applyFont="1" applyBorder="1" applyAlignment="1">
      <alignment horizontal="center" vertical="center" readingOrder="2"/>
    </xf>
    <xf numFmtId="164" fontId="4" fillId="0" borderId="8" xfId="0" applyNumberFormat="1" applyFont="1" applyBorder="1" applyAlignment="1">
      <alignment horizontal="center" vertical="center" readingOrder="2"/>
    </xf>
    <xf numFmtId="164" fontId="0" fillId="0" borderId="8" xfId="0" applyNumberFormat="1" applyBorder="1" applyAlignment="1">
      <alignment horizontal="center" vertical="center" readingOrder="2"/>
    </xf>
    <xf numFmtId="164" fontId="3" fillId="7" borderId="8" xfId="0" applyNumberFormat="1" applyFont="1" applyFill="1" applyBorder="1" applyAlignment="1">
      <alignment horizontal="center" vertical="center" readingOrder="2"/>
    </xf>
    <xf numFmtId="0" fontId="0" fillId="0" borderId="8" xfId="0" applyBorder="1" applyAlignment="1">
      <alignment horizontal="center" vertical="center" readingOrder="2"/>
    </xf>
    <xf numFmtId="9" fontId="0" fillId="0" borderId="8" xfId="0" applyNumberFormat="1" applyBorder="1" applyAlignment="1">
      <alignment horizontal="center" vertical="center" readingOrder="2"/>
    </xf>
    <xf numFmtId="164" fontId="3" fillId="5" borderId="8" xfId="0" applyNumberFormat="1" applyFont="1" applyFill="1" applyBorder="1" applyAlignment="1">
      <alignment horizontal="center" vertical="center" readingOrder="2"/>
    </xf>
    <xf numFmtId="9" fontId="3" fillId="5" borderId="8" xfId="0" applyNumberFormat="1" applyFont="1" applyFill="1" applyBorder="1" applyAlignment="1">
      <alignment horizontal="center" vertical="center" readingOrder="2"/>
    </xf>
    <xf numFmtId="0" fontId="3" fillId="5" borderId="8" xfId="0" applyFont="1" applyFill="1" applyBorder="1" applyAlignment="1">
      <alignment horizontal="center" vertical="center" readingOrder="2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9" fontId="8" fillId="0" borderId="8" xfId="0" applyNumberFormat="1" applyFont="1" applyBorder="1" applyAlignment="1" applyProtection="1">
      <alignment horizontal="center" vertical="center"/>
      <protection locked="0"/>
    </xf>
    <xf numFmtId="9" fontId="8" fillId="0" borderId="13" xfId="0" applyNumberFormat="1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8" xfId="0" applyNumberFormat="1" applyBorder="1" applyAlignment="1">
      <alignment horizontal="center" vertical="center"/>
    </xf>
    <xf numFmtId="10" fontId="0" fillId="0" borderId="8" xfId="1" applyNumberFormat="1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11" fillId="7" borderId="8" xfId="0" applyNumberFormat="1" applyFont="1" applyFill="1" applyBorder="1" applyAlignment="1">
      <alignment horizontal="center" vertical="center"/>
    </xf>
    <xf numFmtId="164" fontId="11" fillId="7" borderId="8" xfId="0" applyNumberFormat="1" applyFont="1" applyFill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readingOrder="2"/>
    </xf>
    <xf numFmtId="0" fontId="15" fillId="7" borderId="8" xfId="0" applyFont="1" applyFill="1" applyBorder="1" applyAlignment="1">
      <alignment horizontal="center" vertical="center" readingOrder="2"/>
    </xf>
    <xf numFmtId="0" fontId="15" fillId="6" borderId="8" xfId="0" applyFont="1" applyFill="1" applyBorder="1" applyAlignment="1">
      <alignment horizontal="center" vertical="center" readingOrder="2"/>
    </xf>
    <xf numFmtId="0" fontId="21" fillId="6" borderId="8" xfId="0" applyFont="1" applyFill="1" applyBorder="1" applyAlignment="1">
      <alignment horizontal="center" vertical="center" readingOrder="2"/>
    </xf>
    <xf numFmtId="0" fontId="22" fillId="6" borderId="8" xfId="0" applyFont="1" applyFill="1" applyBorder="1" applyAlignment="1">
      <alignment horizontal="center" vertical="center" readingOrder="2"/>
    </xf>
    <xf numFmtId="0" fontId="6" fillId="5" borderId="8" xfId="0" applyFont="1" applyFill="1" applyBorder="1" applyAlignment="1">
      <alignment horizontal="center" vertical="center" readingOrder="2"/>
    </xf>
    <xf numFmtId="0" fontId="11" fillId="7" borderId="8" xfId="0" applyFont="1" applyFill="1" applyBorder="1" applyAlignment="1">
      <alignment horizontal="center" vertical="center" readingOrder="2"/>
    </xf>
    <xf numFmtId="0" fontId="12" fillId="6" borderId="8" xfId="0" applyFont="1" applyFill="1" applyBorder="1" applyAlignment="1">
      <alignment horizontal="center" vertical="center" readingOrder="2"/>
    </xf>
    <xf numFmtId="0" fontId="3" fillId="6" borderId="8" xfId="0" applyFont="1" applyFill="1" applyBorder="1" applyAlignment="1">
      <alignment horizontal="center" vertical="center" readingOrder="2"/>
    </xf>
    <xf numFmtId="0" fontId="3" fillId="7" borderId="8" xfId="0" applyFont="1" applyFill="1" applyBorder="1" applyAlignment="1">
      <alignment horizontal="center" vertical="center" wrapText="1" readingOrder="2"/>
    </xf>
    <xf numFmtId="0" fontId="3" fillId="7" borderId="8" xfId="0" applyFont="1" applyFill="1" applyBorder="1" applyAlignment="1">
      <alignment horizontal="center" vertical="center" readingOrder="2"/>
    </xf>
    <xf numFmtId="0" fontId="19" fillId="3" borderId="8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0" fontId="0" fillId="7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readingOrder="2"/>
    </xf>
    <xf numFmtId="164" fontId="7" fillId="8" borderId="8" xfId="0" applyNumberFormat="1" applyFont="1" applyFill="1" applyBorder="1" applyAlignment="1" applyProtection="1">
      <alignment horizontal="center" vertical="center" readingOrder="2"/>
      <protection locked="0"/>
    </xf>
    <xf numFmtId="0" fontId="8" fillId="0" borderId="8" xfId="0" applyFont="1" applyBorder="1" applyAlignment="1" applyProtection="1">
      <alignment horizontal="center" readingOrder="2"/>
      <protection locked="0"/>
    </xf>
    <xf numFmtId="0" fontId="6" fillId="5" borderId="13" xfId="0" applyFont="1" applyFill="1" applyBorder="1" applyAlignment="1">
      <alignment horizontal="center" vertical="center" readingOrder="2"/>
    </xf>
    <xf numFmtId="0" fontId="6" fillId="5" borderId="13" xfId="0" applyFont="1" applyFill="1" applyBorder="1" applyAlignment="1" applyProtection="1">
      <alignment horizontal="center" vertical="center" readingOrder="2"/>
      <protection locked="0"/>
    </xf>
    <xf numFmtId="164" fontId="6" fillId="5" borderId="13" xfId="0" applyNumberFormat="1" applyFont="1" applyFill="1" applyBorder="1" applyAlignment="1">
      <alignment horizontal="center" vertical="center" readingOrder="2"/>
    </xf>
    <xf numFmtId="164" fontId="6" fillId="0" borderId="8" xfId="0" applyNumberFormat="1" applyFont="1" applyBorder="1" applyAlignment="1">
      <alignment horizontal="center"/>
    </xf>
    <xf numFmtId="0" fontId="4" fillId="0" borderId="0" xfId="0" applyFont="1"/>
    <xf numFmtId="164" fontId="26" fillId="7" borderId="8" xfId="0" applyNumberFormat="1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readingOrder="2"/>
    </xf>
    <xf numFmtId="0" fontId="5" fillId="10" borderId="0" xfId="0" applyFont="1" applyFill="1" applyAlignment="1" applyProtection="1">
      <alignment horizontal="center" vertical="center" readingOrder="2"/>
      <protection locked="0"/>
    </xf>
    <xf numFmtId="0" fontId="10" fillId="9" borderId="0" xfId="0" applyFont="1" applyFill="1" applyAlignment="1">
      <alignment horizontal="center" vertical="center" readingOrder="2"/>
    </xf>
    <xf numFmtId="0" fontId="10" fillId="9" borderId="0" xfId="0" applyFont="1" applyFill="1" applyAlignment="1" applyProtection="1">
      <alignment horizontal="center" vertical="center" readingOrder="2"/>
      <protection locked="0"/>
    </xf>
    <xf numFmtId="164" fontId="8" fillId="8" borderId="8" xfId="0" applyNumberFormat="1" applyFont="1" applyFill="1" applyBorder="1" applyAlignment="1" applyProtection="1">
      <alignment horizontal="center" vertical="center" readingOrder="2"/>
      <protection locked="0"/>
    </xf>
    <xf numFmtId="0" fontId="16" fillId="0" borderId="8" xfId="0" applyFont="1" applyBorder="1" applyAlignment="1" applyProtection="1">
      <alignment horizontal="center" vertical="center" readingOrder="2"/>
      <protection locked="0"/>
    </xf>
    <xf numFmtId="164" fontId="16" fillId="0" borderId="8" xfId="0" applyNumberFormat="1" applyFont="1" applyBorder="1" applyAlignment="1">
      <alignment horizontal="center" vertical="center" readingOrder="2"/>
    </xf>
    <xf numFmtId="164" fontId="15" fillId="7" borderId="8" xfId="0" applyNumberFormat="1" applyFont="1" applyFill="1" applyBorder="1" applyAlignment="1">
      <alignment horizontal="center" vertical="center" readingOrder="2"/>
    </xf>
    <xf numFmtId="0" fontId="15" fillId="0" borderId="8" xfId="0" applyFont="1" applyBorder="1" applyAlignment="1" applyProtection="1">
      <alignment horizontal="center" vertical="center" readingOrder="2"/>
      <protection locked="0"/>
    </xf>
    <xf numFmtId="0" fontId="17" fillId="0" borderId="0" xfId="0" applyFont="1" applyAlignment="1">
      <alignment horizontal="center" readingOrder="2"/>
    </xf>
    <xf numFmtId="0" fontId="0" fillId="0" borderId="0" xfId="0" applyAlignment="1" applyProtection="1">
      <alignment readingOrder="2"/>
      <protection locked="0"/>
    </xf>
    <xf numFmtId="0" fontId="22" fillId="0" borderId="8" xfId="0" applyFont="1" applyBorder="1" applyAlignment="1">
      <alignment horizontal="center" vertical="center" readingOrder="2"/>
    </xf>
    <xf numFmtId="0" fontId="23" fillId="0" borderId="8" xfId="0" applyFont="1" applyBorder="1" applyAlignment="1" applyProtection="1">
      <alignment horizontal="center" vertical="center" readingOrder="2"/>
      <protection locked="0"/>
    </xf>
    <xf numFmtId="0" fontId="10" fillId="3" borderId="0" xfId="0" applyFont="1" applyFill="1" applyAlignment="1">
      <alignment horizontal="center" vertical="center" readingOrder="2"/>
    </xf>
    <xf numFmtId="0" fontId="10" fillId="3" borderId="0" xfId="0" applyFont="1" applyFill="1" applyAlignment="1" applyProtection="1">
      <alignment horizontal="center" vertical="center" readingOrder="2"/>
      <protection locked="0"/>
    </xf>
    <xf numFmtId="164" fontId="2" fillId="2" borderId="1" xfId="2" applyNumberFormat="1" applyBorder="1" applyAlignment="1" applyProtection="1">
      <alignment horizontal="center" vertical="center" readingOrder="2"/>
    </xf>
    <xf numFmtId="0" fontId="2" fillId="2" borderId="1" xfId="2" applyBorder="1" applyAlignment="1" applyProtection="1">
      <alignment horizontal="center" vertical="center" readingOrder="2"/>
      <protection locked="0"/>
    </xf>
    <xf numFmtId="0" fontId="16" fillId="0" borderId="8" xfId="0" applyFont="1" applyBorder="1" applyAlignment="1">
      <alignment horizontal="center" vertical="center" readingOrder="2"/>
    </xf>
    <xf numFmtId="167" fontId="16" fillId="0" borderId="8" xfId="0" applyNumberFormat="1" applyFont="1" applyBorder="1" applyAlignment="1">
      <alignment horizontal="center" vertical="center" readingOrder="2"/>
    </xf>
    <xf numFmtId="0" fontId="18" fillId="0" borderId="0" xfId="0" applyFont="1" applyAlignment="1">
      <alignment horizontal="center" readingOrder="2"/>
    </xf>
    <xf numFmtId="0" fontId="18" fillId="0" borderId="0" xfId="0" applyFont="1" applyAlignment="1" applyProtection="1">
      <alignment horizontal="center" readingOrder="2"/>
      <protection locked="0"/>
    </xf>
    <xf numFmtId="0" fontId="16" fillId="8" borderId="8" xfId="0" applyFont="1" applyFill="1" applyBorder="1" applyAlignment="1" applyProtection="1">
      <alignment horizontal="center" vertical="center" readingOrder="2"/>
      <protection locked="0"/>
    </xf>
    <xf numFmtId="0" fontId="6" fillId="6" borderId="8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 applyProtection="1">
      <alignment horizontal="center" vertical="center"/>
      <protection locked="0"/>
    </xf>
    <xf numFmtId="0" fontId="19" fillId="9" borderId="0" xfId="0" applyFont="1" applyFill="1" applyAlignment="1">
      <alignment horizontal="center" vertical="center"/>
    </xf>
    <xf numFmtId="0" fontId="19" fillId="9" borderId="0" xfId="0" applyFont="1" applyFill="1" applyAlignment="1" applyProtection="1">
      <alignment horizontal="center" vertical="center"/>
      <protection locked="0"/>
    </xf>
    <xf numFmtId="0" fontId="19" fillId="9" borderId="3" xfId="0" applyFont="1" applyFill="1" applyBorder="1" applyAlignment="1">
      <alignment horizontal="center"/>
    </xf>
    <xf numFmtId="0" fontId="19" fillId="9" borderId="3" xfId="0" applyFont="1" applyFill="1" applyBorder="1" applyAlignment="1" applyProtection="1">
      <alignment horizontal="center"/>
      <protection locked="0"/>
    </xf>
    <xf numFmtId="0" fontId="9" fillId="9" borderId="4" xfId="0" applyFont="1" applyFill="1" applyBorder="1" applyAlignment="1">
      <alignment horizontal="center"/>
    </xf>
    <xf numFmtId="0" fontId="9" fillId="9" borderId="2" xfId="0" applyFont="1" applyFill="1" applyBorder="1" applyAlignment="1" applyProtection="1">
      <alignment horizontal="center"/>
      <protection locked="0"/>
    </xf>
    <xf numFmtId="0" fontId="9" fillId="9" borderId="12" xfId="0" applyFont="1" applyFill="1" applyBorder="1" applyAlignment="1" applyProtection="1">
      <alignment horizontal="center"/>
      <protection locked="0"/>
    </xf>
    <xf numFmtId="164" fontId="3" fillId="0" borderId="4" xfId="0" applyNumberFormat="1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164" fontId="3" fillId="0" borderId="10" xfId="0" applyNumberFormat="1" applyFont="1" applyBorder="1" applyAlignment="1" applyProtection="1">
      <alignment horizontal="center"/>
      <protection locked="0"/>
    </xf>
    <xf numFmtId="9" fontId="3" fillId="0" borderId="6" xfId="0" applyNumberFormat="1" applyFont="1" applyBorder="1" applyAlignment="1">
      <alignment horizontal="center"/>
    </xf>
    <xf numFmtId="9" fontId="3" fillId="0" borderId="10" xfId="0" applyNumberFormat="1" applyFont="1" applyBorder="1" applyAlignment="1" applyProtection="1">
      <alignment horizontal="center"/>
      <protection locked="0"/>
    </xf>
    <xf numFmtId="164" fontId="3" fillId="0" borderId="7" xfId="0" applyNumberFormat="1" applyFont="1" applyBorder="1" applyAlignment="1">
      <alignment horizontal="center"/>
    </xf>
    <xf numFmtId="164" fontId="3" fillId="0" borderId="11" xfId="0" applyNumberFormat="1" applyFont="1" applyBorder="1" applyAlignment="1" applyProtection="1">
      <alignment horizontal="center"/>
      <protection locked="0"/>
    </xf>
  </cellXfs>
  <cellStyles count="3">
    <cellStyle name="Neutral" xfId="2" builtinId="28"/>
    <cellStyle name="Normal" xfId="0" builtinId="0"/>
    <cellStyle name="Percent" xfId="1" builtinId="5"/>
  </cellStyles>
  <dxfs count="18">
    <dxf>
      <font>
        <b/>
        <i val="0"/>
        <color rgb="FFC00000"/>
      </font>
    </dxf>
    <dxf>
      <font>
        <color rgb="FF00703C"/>
      </font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EFDA"/>
        </patternFill>
      </fill>
    </dxf>
    <dxf>
      <font>
        <color rgb="FF00B050"/>
      </font>
    </dxf>
    <dxf>
      <font>
        <color rgb="FFC00000"/>
      </font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00703C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8CBAD"/>
        </patternFill>
      </fill>
    </dxf>
    <dxf>
      <font>
        <color rgb="FF808080"/>
      </font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أين يذهب دخلك الشهري؟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Backend!$H$4</c:f>
              <c:strCache>
                <c:ptCount val="1"/>
                <c:pt idx="0">
                  <c:v>المبلغ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80-48C6-93F8-E389AFF36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480-48C6-93F8-E389AFF36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80-48C6-93F8-E389AFF36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480-48C6-93F8-E389AFF36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80-48C6-93F8-E389AFF36E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480-48C6-93F8-E389AFF36E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C05-4257-8E6C-D4D95249B0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C05-4257-8E6C-D4D95249B0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C05-4257-8E6C-D4D95249B00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Backend!$G$5:$G$13</c:f>
              <c:strCache>
                <c:ptCount val="9"/>
                <c:pt idx="0">
                  <c:v>طوارئ</c:v>
                </c:pt>
                <c:pt idx="1">
                  <c:v>ادخار</c:v>
                </c:pt>
                <c:pt idx="2">
                  <c:v>كمالي</c:v>
                </c:pt>
                <c:pt idx="3">
                  <c:v>دين/أقساط</c:v>
                </c:pt>
                <c:pt idx="4">
                  <c:v>أساسي</c:v>
                </c:pt>
                <c:pt idx="5">
                  <c:v>العطاء والمساندة</c:v>
                </c:pt>
                <c:pt idx="6">
                  <c:v>تحويل خارجي</c:v>
                </c:pt>
                <c:pt idx="7">
                  <c:v>الاستثمار</c:v>
                </c:pt>
                <c:pt idx="8">
                  <c:v>الفائض (الصافي)</c:v>
                </c:pt>
              </c:strCache>
            </c:strRef>
          </c:cat>
          <c:val>
            <c:numRef>
              <c:f>Backend!$H$5:$H$13</c:f>
              <c:numCache>
                <c:formatCode>#,##0\ "ر.س";\(#,##0\ "ر.س"\);"-"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8C6-93F8-E389AFF36E2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التقدم نحو الطوارئ والأهداف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Backend!$D$23</c:f>
              <c:strCache>
                <c:ptCount val="1"/>
                <c:pt idx="0">
                  <c:v>المتوفر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Backend!$C$24:$C$25</c:f>
              <c:strCache>
                <c:ptCount val="2"/>
                <c:pt idx="0">
                  <c:v>صندوق الطوارئ</c:v>
                </c:pt>
                <c:pt idx="1">
                  <c:v>أهداف الادخار</c:v>
                </c:pt>
              </c:strCache>
            </c:strRef>
          </c:cat>
          <c:val>
            <c:numRef>
              <c:f>Backend!$D$24:$D$25</c:f>
              <c:numCache>
                <c:formatCode>#,##0\ "ر.س";\(#,##0\ "ر.س"\);"-"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4-48A6-8C54-B4BE31F455FC}"/>
            </c:ext>
          </c:extLst>
        </c:ser>
        <c:ser>
          <c:idx val="1"/>
          <c:order val="1"/>
          <c:tx>
            <c:strRef>
              <c:f>Backend!$E$23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Backend!$C$24:$C$25</c:f>
              <c:strCache>
                <c:ptCount val="2"/>
                <c:pt idx="0">
                  <c:v>صندوق الطوارئ</c:v>
                </c:pt>
                <c:pt idx="1">
                  <c:v>أهداف الادخار</c:v>
                </c:pt>
              </c:strCache>
            </c:strRef>
          </c:cat>
          <c:val>
            <c:numRef>
              <c:f>Backend!$E$24:$E$25</c:f>
              <c:numCache>
                <c:formatCode>#,##0\ "ر.س";\(#,##0\ "ر.س"\);"-"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4-48A6-8C54-B4BE31F4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809307072"/>
        <c:axId val="1888317616"/>
      </c:barChart>
      <c:catAx>
        <c:axId val="180930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17616"/>
        <c:crosses val="autoZero"/>
        <c:auto val="1"/>
        <c:lblAlgn val="ctr"/>
        <c:lblOffset val="100"/>
        <c:noMultiLvlLbl val="0"/>
      </c:catAx>
      <c:valAx>
        <c:axId val="18883176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0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43</xdr:row>
      <xdr:rowOff>50800</xdr:rowOff>
    </xdr:from>
    <xdr:to>
      <xdr:col>11</xdr:col>
      <xdr:colOff>0</xdr:colOff>
      <xdr:row>61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F42D2-9EF8-9C68-2925-C18F0C604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216477</xdr:colOff>
      <xdr:row>2</xdr:row>
      <xdr:rowOff>1</xdr:rowOff>
    </xdr:from>
    <xdr:to>
      <xdr:col>7</xdr:col>
      <xdr:colOff>216477</xdr:colOff>
      <xdr:row>11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9F1F7-A037-737C-DABB-B1FC77D39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18846B-2AE1-414B-80DD-0C82E4166E5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f1b69f1b-21ed-4b23-b0ef-f89138fc71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77D-36FE-4275-9A6C-F4A48DC6F0C9}">
  <dimension ref="A1:Z76"/>
  <sheetViews>
    <sheetView showGridLines="0" rightToLeft="1" tabSelected="1" zoomScale="85" zoomScaleNormal="85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28" style="2" bestFit="1" customWidth="1"/>
    <col min="2" max="2" width="24.5703125" style="2" customWidth="1"/>
    <col min="3" max="3" width="18.140625" style="2" customWidth="1"/>
    <col min="4" max="4" width="20.85546875" style="2" bestFit="1" customWidth="1"/>
    <col min="5" max="6" width="18.140625" style="2" customWidth="1"/>
    <col min="7" max="7" width="17.140625" style="2" customWidth="1"/>
    <col min="8" max="8" width="16" style="2" customWidth="1"/>
    <col min="9" max="9" width="32.28515625" style="2" bestFit="1" customWidth="1"/>
    <col min="10" max="10" width="27.5703125" style="2" bestFit="1" customWidth="1"/>
    <col min="11" max="11" width="21" style="2" customWidth="1"/>
    <col min="12" max="16384" width="9.140625" style="2"/>
  </cols>
  <sheetData>
    <row r="1" spans="1:26" ht="33.950000000000003" customHeight="1" x14ac:dyDescent="0.25">
      <c r="A1" s="87" t="s">
        <v>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96" t="s">
        <v>60</v>
      </c>
      <c r="B2" s="97"/>
      <c r="C2" s="1"/>
      <c r="D2" s="1"/>
      <c r="E2" s="1"/>
      <c r="F2" s="1"/>
      <c r="G2" s="1"/>
      <c r="H2" s="1"/>
      <c r="I2" s="106" t="s">
        <v>61</v>
      </c>
      <c r="J2" s="107"/>
      <c r="K2" s="10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x14ac:dyDescent="0.25">
      <c r="A3" s="100" t="s">
        <v>0</v>
      </c>
      <c r="B3" s="101"/>
      <c r="C3" s="4"/>
      <c r="D3" s="4"/>
      <c r="E3" s="4"/>
      <c r="F3" s="4"/>
      <c r="G3" s="4"/>
      <c r="I3" s="89" t="s">
        <v>16</v>
      </c>
      <c r="J3" s="90"/>
      <c r="K3" s="90"/>
      <c r="L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73" t="s">
        <v>5</v>
      </c>
      <c r="B4" s="73" t="s">
        <v>6</v>
      </c>
      <c r="C4" s="4"/>
      <c r="D4" s="4"/>
      <c r="E4" s="4"/>
      <c r="F4" s="4"/>
      <c r="G4" s="4"/>
      <c r="I4" s="52" t="s">
        <v>3</v>
      </c>
      <c r="J4" s="52" t="s">
        <v>6</v>
      </c>
      <c r="K4" s="52" t="s">
        <v>63</v>
      </c>
      <c r="L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5"/>
      <c r="B5" s="6"/>
      <c r="C5" s="4"/>
      <c r="D5" s="4"/>
      <c r="E5" s="4"/>
      <c r="F5" s="4"/>
      <c r="G5" s="4"/>
      <c r="I5" s="53" t="s">
        <v>7</v>
      </c>
      <c r="J5" s="19">
        <f>B11</f>
        <v>0</v>
      </c>
      <c r="K5" s="15">
        <f t="shared" ref="K5:K10" si="0">IFERROR(J5/$J$5,0)</f>
        <v>0</v>
      </c>
      <c r="L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/>
      <c r="B6" s="6"/>
      <c r="C6" s="4"/>
      <c r="D6" s="4"/>
      <c r="E6" s="4"/>
      <c r="F6" s="4"/>
      <c r="G6" s="4"/>
      <c r="I6" s="53" t="s">
        <v>17</v>
      </c>
      <c r="J6" s="19">
        <f>F50</f>
        <v>0</v>
      </c>
      <c r="K6" s="15">
        <f t="shared" si="0"/>
        <v>0</v>
      </c>
      <c r="L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/>
      <c r="B7" s="6"/>
      <c r="C7" s="4"/>
      <c r="D7" s="4"/>
      <c r="E7" s="4"/>
      <c r="F7" s="4"/>
      <c r="G7" s="4"/>
      <c r="I7" s="54" t="s">
        <v>64</v>
      </c>
      <c r="J7" s="20">
        <f>SUMIF(B15:B49,"دين/أقساط",F15:F49)</f>
        <v>0</v>
      </c>
      <c r="K7" s="16">
        <f t="shared" si="0"/>
        <v>0</v>
      </c>
      <c r="L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6"/>
      <c r="C8" s="4"/>
      <c r="D8" s="4"/>
      <c r="E8" s="4"/>
      <c r="F8" s="4"/>
      <c r="G8" s="4"/>
      <c r="I8" s="54" t="s">
        <v>65</v>
      </c>
      <c r="J8" s="20">
        <f>SUMIF(B15:B49,"كمالي",F15:F49)</f>
        <v>0</v>
      </c>
      <c r="K8" s="16">
        <f t="shared" si="0"/>
        <v>0</v>
      </c>
      <c r="L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5"/>
      <c r="B9" s="6"/>
      <c r="C9" s="4"/>
      <c r="D9" s="4"/>
      <c r="E9" s="4"/>
      <c r="F9" s="4"/>
      <c r="G9" s="4"/>
      <c r="I9" s="54" t="s">
        <v>66</v>
      </c>
      <c r="J9" s="20">
        <f>SUMIF(B15:B49,"أساسي",F15:F49)</f>
        <v>0</v>
      </c>
      <c r="K9" s="16">
        <f t="shared" si="0"/>
        <v>0</v>
      </c>
      <c r="L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x14ac:dyDescent="0.25">
      <c r="A10" s="5" t="s">
        <v>97</v>
      </c>
      <c r="B10" s="74"/>
      <c r="C10" s="4"/>
      <c r="D10" s="4"/>
      <c r="E10" s="4"/>
      <c r="F10" s="4"/>
      <c r="G10" s="4"/>
      <c r="I10" s="55" t="s">
        <v>67</v>
      </c>
      <c r="J10" s="21">
        <f>J5-J6</f>
        <v>0</v>
      </c>
      <c r="K10" s="17">
        <f t="shared" si="0"/>
        <v>0</v>
      </c>
      <c r="L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x14ac:dyDescent="0.25">
      <c r="A11" s="56" t="s">
        <v>7</v>
      </c>
      <c r="B11" s="18">
        <f>SUM(B5:B10)</f>
        <v>0</v>
      </c>
      <c r="C11" s="4"/>
      <c r="D11" s="4"/>
      <c r="E11" s="4"/>
      <c r="F11" s="4"/>
      <c r="G11" s="4"/>
      <c r="I11" s="55" t="s">
        <v>18</v>
      </c>
      <c r="J11" s="98" t="str">
        <f>IF(J10&lt;0,"🔴 خطر - عجز",IF(J10-B58&lt;0,"🟠 مزنوق - السحب من المدخرات غطّى العجز",IF(AND(K7&gt;Backend!D6,K8&gt;Backend!D7),"🟠 انتبه - أقساط وكماليات مرتفعة",IF(K7&gt;Backend!D6,"🟠 انتبه - أقساط مرتفعة",IF(K8&gt;Backend!D7,"🟠 انتبه - كماليات مرتفعة",IF(J27&gt;0,"🟡 جيد - كمّل صندوق الطوارئ",IF(K10&gt;=Backend!D4,"🟢 ممتاز",IF(K10&gt;=Backend!D5,"🟡 جيد","🟠 مقبول - فائضك قليل"))))))))</f>
        <v>🟠 مقبول - فائضك قليل</v>
      </c>
      <c r="K11" s="99"/>
      <c r="L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/>
      <c r="B12" s="4"/>
      <c r="C12" s="4"/>
      <c r="D12" s="4"/>
      <c r="E12" s="4"/>
      <c r="F12" s="4"/>
      <c r="G12" s="4"/>
      <c r="I12" s="7"/>
      <c r="J12" s="7"/>
      <c r="K12" s="7"/>
      <c r="L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x14ac:dyDescent="0.25">
      <c r="A13" s="100" t="s">
        <v>8</v>
      </c>
      <c r="B13" s="101"/>
      <c r="C13" s="101"/>
      <c r="D13" s="101"/>
      <c r="E13" s="101"/>
      <c r="F13" s="101"/>
      <c r="G13" s="3"/>
      <c r="I13" s="89" t="s">
        <v>68</v>
      </c>
      <c r="J13" s="90"/>
      <c r="K13" s="90"/>
      <c r="L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51" t="s">
        <v>3</v>
      </c>
      <c r="B14" s="51" t="s">
        <v>9</v>
      </c>
      <c r="C14" s="51" t="s">
        <v>1</v>
      </c>
      <c r="D14" s="51" t="s">
        <v>10</v>
      </c>
      <c r="E14" s="51" t="s">
        <v>2</v>
      </c>
      <c r="F14" s="51" t="s">
        <v>11</v>
      </c>
      <c r="G14" s="51" t="s">
        <v>100</v>
      </c>
      <c r="I14" s="52" t="s">
        <v>3</v>
      </c>
      <c r="J14" s="52" t="s">
        <v>6</v>
      </c>
      <c r="K14" s="52" t="s">
        <v>63</v>
      </c>
      <c r="L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/>
      <c r="B15" s="6"/>
      <c r="C15" s="6"/>
      <c r="D15" s="6"/>
      <c r="E15" s="9"/>
      <c r="F15" s="25">
        <f>IF(E15&gt;0,C15+D15/E15,C15+D15)</f>
        <v>0</v>
      </c>
      <c r="G15" s="5"/>
      <c r="I15" s="53" t="s">
        <v>43</v>
      </c>
      <c r="J15" s="19">
        <f>Backend!D16</f>
        <v>0</v>
      </c>
      <c r="K15" s="15">
        <f>IFERROR(J15/$J$5,0)</f>
        <v>0</v>
      </c>
      <c r="L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5"/>
      <c r="B16" s="6"/>
      <c r="C16" s="6"/>
      <c r="D16" s="6"/>
      <c r="E16" s="9"/>
      <c r="F16" s="25">
        <f t="shared" ref="F16:F49" si="1">IF(E16&gt;0,C16+D16/E16,C16+D16)</f>
        <v>0</v>
      </c>
      <c r="G16" s="8"/>
      <c r="I16" s="53" t="s">
        <v>44</v>
      </c>
      <c r="J16" s="19">
        <f>Backend!D17</f>
        <v>0</v>
      </c>
      <c r="K16" s="15">
        <f>IFERROR(J16/$J$5,0)</f>
        <v>0</v>
      </c>
      <c r="L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x14ac:dyDescent="0.25">
      <c r="A17" s="8"/>
      <c r="B17" s="6"/>
      <c r="C17" s="6"/>
      <c r="D17" s="6"/>
      <c r="E17" s="9"/>
      <c r="F17" s="25">
        <f t="shared" si="1"/>
        <v>0</v>
      </c>
      <c r="G17" s="8"/>
      <c r="I17" s="57" t="s">
        <v>45</v>
      </c>
      <c r="J17" s="23">
        <f>Backend!D18</f>
        <v>0</v>
      </c>
      <c r="K17" s="22">
        <f>IFERROR(J17/$J$5,0)</f>
        <v>0</v>
      </c>
      <c r="L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/>
      <c r="B18" s="6"/>
      <c r="C18" s="6"/>
      <c r="D18" s="6"/>
      <c r="E18" s="9"/>
      <c r="F18" s="25">
        <f>IF(E18&gt;0,C18+D18/E18,C18+D18)</f>
        <v>0</v>
      </c>
      <c r="G18" s="8"/>
      <c r="I18" s="58" t="s">
        <v>39</v>
      </c>
      <c r="J18" s="24">
        <f>Backend!D19</f>
        <v>0</v>
      </c>
      <c r="K18" s="10"/>
      <c r="L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/>
      <c r="B19" s="6"/>
      <c r="C19" s="6"/>
      <c r="D19" s="13"/>
      <c r="E19" s="9"/>
      <c r="F19" s="25">
        <f t="shared" si="1"/>
        <v>0</v>
      </c>
      <c r="G19" s="8"/>
      <c r="I19" s="58" t="s">
        <v>40</v>
      </c>
      <c r="J19" s="24">
        <f>Backend!D20</f>
        <v>0</v>
      </c>
      <c r="K19" s="10"/>
      <c r="L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5"/>
      <c r="B20" s="6"/>
      <c r="C20" s="6"/>
      <c r="D20" s="6"/>
      <c r="E20" s="9"/>
      <c r="F20" s="25">
        <f t="shared" si="1"/>
        <v>0</v>
      </c>
      <c r="G20" s="8"/>
      <c r="I20" s="53" t="s">
        <v>106</v>
      </c>
      <c r="J20" s="19">
        <f>Backend!D22</f>
        <v>0</v>
      </c>
      <c r="K20" s="15">
        <f>IFERROR(J20/$J$5,0)</f>
        <v>0</v>
      </c>
      <c r="L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x14ac:dyDescent="0.25">
      <c r="A21" s="5"/>
      <c r="B21" s="6"/>
      <c r="C21" s="6"/>
      <c r="D21" s="6"/>
      <c r="E21" s="9"/>
      <c r="F21" s="25">
        <f t="shared" si="1"/>
        <v>0</v>
      </c>
      <c r="G21" s="8"/>
      <c r="I21" s="89" t="s">
        <v>24</v>
      </c>
      <c r="J21" s="90"/>
      <c r="K21" s="90"/>
      <c r="L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5"/>
      <c r="B22" s="6"/>
      <c r="C22" s="6"/>
      <c r="D22" s="6"/>
      <c r="E22" s="9"/>
      <c r="F22" s="25">
        <f t="shared" si="1"/>
        <v>0</v>
      </c>
      <c r="G22" s="8"/>
      <c r="I22" s="53" t="s">
        <v>25</v>
      </c>
      <c r="J22" s="91"/>
      <c r="K22" s="92"/>
      <c r="L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5"/>
      <c r="B23" s="6"/>
      <c r="C23" s="6"/>
      <c r="D23" s="6"/>
      <c r="E23" s="9"/>
      <c r="F23" s="25">
        <f t="shared" si="1"/>
        <v>0</v>
      </c>
      <c r="G23" s="8"/>
      <c r="I23" s="53" t="s">
        <v>49</v>
      </c>
      <c r="J23" s="93">
        <f>SUMIF(B15:B49,"طوارئ",F15:F49)</f>
        <v>0</v>
      </c>
      <c r="K23" s="92"/>
      <c r="L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5"/>
      <c r="B24" s="6"/>
      <c r="C24" s="6"/>
      <c r="D24" s="6"/>
      <c r="E24" s="9"/>
      <c r="F24" s="25">
        <f t="shared" si="1"/>
        <v>0</v>
      </c>
      <c r="G24" s="8"/>
      <c r="I24" s="53" t="s">
        <v>50</v>
      </c>
      <c r="J24" s="94">
        <f>J22+J23</f>
        <v>0</v>
      </c>
      <c r="K24" s="95"/>
      <c r="L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5"/>
      <c r="B25" s="6"/>
      <c r="C25" s="6"/>
      <c r="D25" s="6"/>
      <c r="E25" s="9"/>
      <c r="F25" s="25">
        <f>IF(E25&gt;0,C25+D25/E25,C25+D25)</f>
        <v>0</v>
      </c>
      <c r="G25" s="8"/>
      <c r="I25" s="53" t="s">
        <v>26</v>
      </c>
      <c r="J25" s="91"/>
      <c r="K25" s="108"/>
      <c r="L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5"/>
      <c r="B26" s="6"/>
      <c r="C26" s="6"/>
      <c r="D26" s="6"/>
      <c r="E26" s="9"/>
      <c r="F26" s="25">
        <f t="shared" si="1"/>
        <v>0</v>
      </c>
      <c r="G26" s="8"/>
      <c r="I26" s="53" t="s">
        <v>51</v>
      </c>
      <c r="J26" s="93">
        <f>3*(SUMIF(B15:B49,"أساسي",F15:F49)+SUMIF(B15:B49,"دين/أقساط",F15:F49))*1.25</f>
        <v>0</v>
      </c>
      <c r="K26" s="92"/>
      <c r="L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/>
      <c r="B27" s="6"/>
      <c r="C27" s="6"/>
      <c r="D27" s="6"/>
      <c r="E27" s="9"/>
      <c r="F27" s="25">
        <f t="shared" si="1"/>
        <v>0</v>
      </c>
      <c r="G27" s="8"/>
      <c r="I27" s="53" t="s">
        <v>27</v>
      </c>
      <c r="J27" s="93">
        <f>MAX(0,J25-J24)</f>
        <v>0</v>
      </c>
      <c r="K27" s="92"/>
      <c r="L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8"/>
      <c r="B28" s="6"/>
      <c r="C28" s="6"/>
      <c r="D28" s="6"/>
      <c r="E28" s="9"/>
      <c r="F28" s="25">
        <f t="shared" si="1"/>
        <v>0</v>
      </c>
      <c r="G28" s="8"/>
      <c r="I28" s="53" t="s">
        <v>28</v>
      </c>
      <c r="J28" s="104" t="str">
        <f>IF(J27=0,"✅ مكتمل","⚠️ غير مكتمل")</f>
        <v>✅ مكتمل</v>
      </c>
      <c r="K28" s="92"/>
      <c r="L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/>
      <c r="B29" s="6"/>
      <c r="C29" s="6"/>
      <c r="D29" s="6"/>
      <c r="E29" s="9"/>
      <c r="F29" s="25">
        <f t="shared" si="1"/>
        <v>0</v>
      </c>
      <c r="G29" s="8"/>
      <c r="I29" s="53" t="s">
        <v>96</v>
      </c>
      <c r="J29" s="105">
        <f>IF(J27=0,0,IFERROR(ROUNDUP(MAX(0,J25-J22)/(Backend!D16+J23),0),"-"))</f>
        <v>0</v>
      </c>
      <c r="K29" s="92"/>
      <c r="L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/>
      <c r="B30" s="6"/>
      <c r="C30" s="6"/>
      <c r="D30" s="6"/>
      <c r="E30" s="9"/>
      <c r="F30" s="25">
        <f t="shared" si="1"/>
        <v>0</v>
      </c>
      <c r="G30" s="8"/>
      <c r="I30" s="1"/>
      <c r="J30" s="1"/>
      <c r="K30" s="1"/>
      <c r="L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3">
      <c r="A31" s="8"/>
      <c r="B31" s="6"/>
      <c r="C31" s="6"/>
      <c r="D31" s="6"/>
      <c r="E31" s="9"/>
      <c r="F31" s="25">
        <f t="shared" si="1"/>
        <v>0</v>
      </c>
      <c r="G31" s="8"/>
      <c r="I31" s="111" t="s">
        <v>107</v>
      </c>
      <c r="J31" s="111"/>
      <c r="K31" s="111"/>
      <c r="L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8"/>
      <c r="B32" s="6"/>
      <c r="C32" s="6"/>
      <c r="D32" s="6"/>
      <c r="E32" s="9"/>
      <c r="F32" s="25">
        <f t="shared" si="1"/>
        <v>0</v>
      </c>
      <c r="G32" s="8"/>
      <c r="I32" s="52" t="s">
        <v>108</v>
      </c>
      <c r="J32" s="52" t="s">
        <v>18</v>
      </c>
      <c r="K32" s="52" t="s">
        <v>109</v>
      </c>
      <c r="L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100000000000001" customHeight="1" x14ac:dyDescent="0.25">
      <c r="A33" s="8"/>
      <c r="B33" s="6"/>
      <c r="C33" s="6"/>
      <c r="D33" s="6"/>
      <c r="E33" s="9"/>
      <c r="F33" s="25">
        <f t="shared" si="1"/>
        <v>0</v>
      </c>
      <c r="G33" s="8"/>
      <c r="I33" s="82" t="s">
        <v>110</v>
      </c>
      <c r="J33" s="83" t="str">
        <f>IF(J10&lt;0,"⚠️ نشط","✅ تمام")</f>
        <v>✅ تمام</v>
      </c>
      <c r="K33" s="84" t="str">
        <f>IF(J10&lt;0,"عجز "&amp;TEXT(-J10,"#,##0")&amp;" ر.س حتى بعد السحب","")</f>
        <v/>
      </c>
      <c r="L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100000000000001" customHeight="1" x14ac:dyDescent="0.25">
      <c r="A34" s="8"/>
      <c r="B34" s="6"/>
      <c r="C34" s="6"/>
      <c r="D34" s="6"/>
      <c r="E34" s="9"/>
      <c r="F34" s="25">
        <f t="shared" si="1"/>
        <v>0</v>
      </c>
      <c r="G34" s="5"/>
      <c r="I34" s="82" t="s">
        <v>111</v>
      </c>
      <c r="J34" s="83" t="str">
        <f>IF(AND(J10&gt;=0,J10-B58&lt;0),"⚠️ نشط","✅ تمام")</f>
        <v>✅ تمام</v>
      </c>
      <c r="K34" s="84" t="str">
        <f>IF(AND(J10&gt;=0,J10-B58&lt;0),"السحب غطّى عجز "&amp;TEXT(B58-J10,"#,##0")&amp;" ر.س","")</f>
        <v/>
      </c>
      <c r="L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100000000000001" customHeight="1" x14ac:dyDescent="0.25">
      <c r="A35" s="8"/>
      <c r="B35" s="6"/>
      <c r="C35" s="6"/>
      <c r="D35" s="6"/>
      <c r="E35" s="9"/>
      <c r="F35" s="25">
        <f t="shared" si="1"/>
        <v>0</v>
      </c>
      <c r="G35" s="5"/>
      <c r="I35" s="82" t="s">
        <v>112</v>
      </c>
      <c r="J35" s="83" t="str">
        <f>IF(B58&gt;B56+B57,"⚠️ نشط","✅ تمام")</f>
        <v>✅ تمام</v>
      </c>
      <c r="K35" s="84" t="str">
        <f>IF(B58&gt;B56+B57,"سحبت "&amp;TEXT(B58,"#,##0")&amp;" والمتاح "&amp;TEXT(B56+B57,"#,##0")&amp;" ر.س","")</f>
        <v/>
      </c>
      <c r="L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100000000000001" customHeight="1" x14ac:dyDescent="0.25">
      <c r="A36" s="8"/>
      <c r="B36" s="6"/>
      <c r="C36" s="6"/>
      <c r="D36" s="6"/>
      <c r="E36" s="9"/>
      <c r="F36" s="25">
        <f t="shared" si="1"/>
        <v>0</v>
      </c>
      <c r="G36" s="5"/>
      <c r="I36" s="82" t="s">
        <v>113</v>
      </c>
      <c r="J36" s="83" t="str">
        <f>IF(K7&gt;Backend!D6,"⚠️ نشط","✅ تمام")</f>
        <v>✅ تمام</v>
      </c>
      <c r="K36" s="84" t="str">
        <f>IF(K7&gt;Backend!D6,TEXT(K7,"0.0%")&amp;" (الحد "&amp;TEXT(Backend!D6,"0%")&amp;")","")</f>
        <v/>
      </c>
      <c r="L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100000000000001" customHeight="1" x14ac:dyDescent="0.25">
      <c r="A37" s="8"/>
      <c r="B37" s="6"/>
      <c r="C37" s="6"/>
      <c r="D37" s="6"/>
      <c r="E37" s="9"/>
      <c r="F37" s="25">
        <f t="shared" si="1"/>
        <v>0</v>
      </c>
      <c r="G37" s="5"/>
      <c r="I37" s="82" t="s">
        <v>114</v>
      </c>
      <c r="J37" s="83" t="str">
        <f>IF(K8&gt;Backend!D7,"⚠️ نشط","✅ تمام")</f>
        <v>✅ تمام</v>
      </c>
      <c r="K37" s="84" t="str">
        <f>IF(K8&gt;Backend!D7,TEXT(K8,"0.0%")&amp;" (الحد "&amp;TEXT(Backend!D7,"0%")&amp;")","")</f>
        <v/>
      </c>
      <c r="L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100000000000001" customHeight="1" x14ac:dyDescent="0.25">
      <c r="A38" s="8"/>
      <c r="B38" s="6"/>
      <c r="C38" s="6"/>
      <c r="D38" s="6"/>
      <c r="E38" s="9"/>
      <c r="F38" s="25">
        <f t="shared" si="1"/>
        <v>0</v>
      </c>
      <c r="G38" s="5"/>
      <c r="I38" s="82" t="s">
        <v>115</v>
      </c>
      <c r="J38" s="83" t="str">
        <f>IF(J27&gt;0,"⚠️ نشط","✅ تمام")</f>
        <v>✅ تمام</v>
      </c>
      <c r="K38" s="84" t="str">
        <f>IF(J27&gt;0,"ناقص "&amp;TEXT(J27,"#,##0")&amp;" ر.س","")</f>
        <v/>
      </c>
      <c r="L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100000000000001" customHeight="1" x14ac:dyDescent="0.25">
      <c r="A39" s="8"/>
      <c r="B39" s="6"/>
      <c r="C39" s="6"/>
      <c r="D39" s="6"/>
      <c r="E39" s="9"/>
      <c r="F39" s="25">
        <f t="shared" si="1"/>
        <v>0</v>
      </c>
      <c r="G39" s="5"/>
      <c r="I39" s="82" t="s">
        <v>116</v>
      </c>
      <c r="J39" s="83" t="str">
        <f>IF(AND(J10&gt;=0,K10&lt;Backend!D5),"⚠️ نشط","✅ تمام")</f>
        <v>⚠️ نشط</v>
      </c>
      <c r="K39" s="84" t="str">
        <f>IF(AND(J10&gt;=0,K10&lt;Backend!D5),TEXT(K10,"0.0%")&amp;" (الأدنى "&amp;TEXT(Backend!D5,"0%")&amp;")","")</f>
        <v>0.0% (الأدنى 10%)</v>
      </c>
      <c r="L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100000000000001" customHeight="1" x14ac:dyDescent="0.25">
      <c r="A40" s="8"/>
      <c r="B40" s="6"/>
      <c r="C40" s="6"/>
      <c r="D40" s="6"/>
      <c r="E40" s="9"/>
      <c r="F40" s="25">
        <f t="shared" si="1"/>
        <v>0</v>
      </c>
      <c r="G40" s="5"/>
      <c r="I40" s="82" t="s">
        <v>117</v>
      </c>
      <c r="J40" s="83" t="str">
        <f>IF(B61&lt;0,"⚠️ نشط","✅ تمام")</f>
        <v>✅ تمام</v>
      </c>
      <c r="K40" s="84" t="str">
        <f>IF(B61&lt;0,"زيادة "&amp;TEXT(-B61,"#,##0")&amp;" ر.س","")</f>
        <v/>
      </c>
      <c r="L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100000000000001" customHeight="1" x14ac:dyDescent="0.25">
      <c r="A41" s="8"/>
      <c r="B41" s="6"/>
      <c r="C41" s="6"/>
      <c r="D41" s="6"/>
      <c r="E41" s="9"/>
      <c r="F41" s="25">
        <f t="shared" si="1"/>
        <v>0</v>
      </c>
      <c r="G41" s="5"/>
      <c r="I41" s="82" t="s">
        <v>118</v>
      </c>
      <c r="J41" s="83" t="str">
        <f>IF(J20&gt;0,"⚠️ نشط","✅ تمام")</f>
        <v>✅ تمام</v>
      </c>
      <c r="K41" s="84" t="str">
        <f>IF(J20&gt;0,"رجّع "&amp;TEXT(J20,"#,##0")&amp;" ر.س","")</f>
        <v/>
      </c>
      <c r="L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100000000000001" customHeight="1" x14ac:dyDescent="0.25">
      <c r="A42" s="8"/>
      <c r="B42" s="6"/>
      <c r="C42" s="6"/>
      <c r="D42" s="6"/>
      <c r="E42" s="9"/>
      <c r="F42" s="25">
        <f t="shared" si="1"/>
        <v>0</v>
      </c>
      <c r="G42" s="5"/>
      <c r="I42" s="85" t="s">
        <v>119</v>
      </c>
      <c r="J42" s="85">
        <f>COUNTIF(J33:J41,"⚠️ نشط")</f>
        <v>1</v>
      </c>
      <c r="K42" s="86" t="str">
        <f>IF(J42=0,"✅ مفيش تحذيرات","⚠️ راجع البنود اللي فوق")</f>
        <v>⚠️ راجع البنود اللي فوق</v>
      </c>
      <c r="L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/>
      <c r="B43" s="6"/>
      <c r="C43" s="6"/>
      <c r="D43" s="6"/>
      <c r="E43" s="9"/>
      <c r="F43" s="25">
        <f t="shared" si="1"/>
        <v>0</v>
      </c>
      <c r="G43" s="5"/>
      <c r="I43" s="1"/>
      <c r="J43" s="1"/>
      <c r="K43" s="1"/>
      <c r="L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/>
      <c r="B44" s="6"/>
      <c r="C44" s="6"/>
      <c r="D44" s="6"/>
      <c r="E44" s="9"/>
      <c r="F44" s="25">
        <f t="shared" si="1"/>
        <v>0</v>
      </c>
      <c r="G44" s="5"/>
      <c r="I44" s="1"/>
      <c r="J44" s="1"/>
      <c r="K44" s="1"/>
      <c r="L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/>
      <c r="B45" s="6"/>
      <c r="C45" s="6"/>
      <c r="D45" s="6"/>
      <c r="E45" s="9"/>
      <c r="F45" s="25">
        <f t="shared" si="1"/>
        <v>0</v>
      </c>
      <c r="G45" s="5"/>
      <c r="I45" s="1"/>
      <c r="J45" s="1"/>
      <c r="K45" s="1"/>
      <c r="L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/>
      <c r="B46" s="6"/>
      <c r="C46" s="6"/>
      <c r="D46" s="6"/>
      <c r="E46" s="9"/>
      <c r="F46" s="25">
        <f t="shared" si="1"/>
        <v>0</v>
      </c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8"/>
      <c r="B47" s="6"/>
      <c r="C47" s="6"/>
      <c r="D47" s="6"/>
      <c r="E47" s="9"/>
      <c r="F47" s="25">
        <f t="shared" si="1"/>
        <v>0</v>
      </c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/>
      <c r="B48" s="6"/>
      <c r="C48" s="6"/>
      <c r="D48" s="6"/>
      <c r="E48" s="9"/>
      <c r="F48" s="25">
        <f t="shared" si="1"/>
        <v>0</v>
      </c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8"/>
      <c r="B49" s="6"/>
      <c r="C49" s="6"/>
      <c r="D49" s="6"/>
      <c r="E49" s="9"/>
      <c r="F49" s="25">
        <f t="shared" si="1"/>
        <v>0</v>
      </c>
      <c r="G49" s="7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76" t="s">
        <v>15</v>
      </c>
      <c r="B50" s="77"/>
      <c r="C50" s="78">
        <f>SUM(C15:C49)</f>
        <v>0</v>
      </c>
      <c r="D50" s="78">
        <f>SUM(D15:D49)</f>
        <v>0</v>
      </c>
      <c r="E50" s="77"/>
      <c r="F50" s="78">
        <f>SUM(F15:F49)</f>
        <v>0</v>
      </c>
      <c r="G50" s="18" t="str">
        <f>COUNTIF(G15:G49,"✅ تم الدفع")&amp;" مدفوع"</f>
        <v>0 مدفوع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09" t="s">
        <v>101</v>
      </c>
      <c r="B51" s="109"/>
      <c r="C51" s="109"/>
      <c r="D51" s="109"/>
      <c r="E51" s="109"/>
      <c r="F51" s="79">
        <f>SUMIF(G15:G49,"✅ تم الدفع",F15:F49)</f>
        <v>0</v>
      </c>
      <c r="G51" s="8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09" t="s">
        <v>102</v>
      </c>
      <c r="B52" s="109"/>
      <c r="C52" s="109"/>
      <c r="D52" s="109"/>
      <c r="E52" s="109"/>
      <c r="F52" s="79">
        <f>F50-F51</f>
        <v>0</v>
      </c>
      <c r="G52" s="8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0" t="s">
        <v>103</v>
      </c>
      <c r="B53" s="110"/>
      <c r="C53" s="110"/>
      <c r="D53" s="110"/>
      <c r="E53" s="110"/>
      <c r="F53" s="81">
        <f>B11-F51</f>
        <v>0</v>
      </c>
      <c r="G53" s="8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x14ac:dyDescent="0.25">
      <c r="A55" s="89" t="s">
        <v>52</v>
      </c>
      <c r="B55" s="90"/>
      <c r="C55" s="90"/>
      <c r="D55" s="90"/>
      <c r="E55" s="90"/>
      <c r="F55" s="90"/>
      <c r="G55" s="90"/>
      <c r="H55" s="12"/>
      <c r="I55" s="1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59" t="s">
        <v>53</v>
      </c>
      <c r="B56" s="1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59" t="s">
        <v>49</v>
      </c>
      <c r="B57" s="26">
        <f>SUMIF(B15:B49,"ادخار",F15:F49)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59" t="s">
        <v>98</v>
      </c>
      <c r="B58" s="26">
        <f>SUMIF(A5:A10,"سحب من المدخرات",B5:B10)</f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59" t="s">
        <v>99</v>
      </c>
      <c r="B59" s="27">
        <f>B56+B57-B58</f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59" t="s">
        <v>86</v>
      </c>
      <c r="B60" s="26" cm="1">
        <f t="array" ref="B60">SUMPRODUCT((E65:E74="")*D65:D74)+SUM(E65:E74)</f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59" t="s">
        <v>54</v>
      </c>
      <c r="B61" s="26">
        <f>B59-B60</f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59" t="s">
        <v>55</v>
      </c>
      <c r="B62" s="28" t="str">
        <f>IF(B58&gt;B56+B57,"❌ السحب أكبر من المدخر المتاح",IF(B61&lt;0,"❌ الموزع أكبر من المتوفر",IF(AND(B75&gt;0,F75=0),"✅ يكفي كل الأهداف","✅ سليم")))</f>
        <v>✅ سليم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60" t="s">
        <v>31</v>
      </c>
      <c r="B64" s="60" t="s">
        <v>32</v>
      </c>
      <c r="C64" s="60" t="s">
        <v>82</v>
      </c>
      <c r="D64" s="61" t="s">
        <v>83</v>
      </c>
      <c r="E64" s="60" t="s">
        <v>84</v>
      </c>
      <c r="F64" s="60" t="s">
        <v>33</v>
      </c>
      <c r="G64" s="60" t="s">
        <v>34</v>
      </c>
      <c r="H64" s="60" t="s">
        <v>35</v>
      </c>
      <c r="I64" s="60" t="s">
        <v>85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5"/>
      <c r="B65" s="13"/>
      <c r="C65" s="14"/>
      <c r="D65" s="19">
        <f>Backend!H39</f>
        <v>0</v>
      </c>
      <c r="E65" s="11"/>
      <c r="F65" s="26">
        <f t="shared" ref="F65:F74" si="2">IF(B65="",0,MAX(0,B65-IF(E65="",D65,E65)))</f>
        <v>0</v>
      </c>
      <c r="G65" s="29" t="str">
        <f t="shared" ref="G65:G74" si="3">IF(B65="","",IFERROR(IF(E65="",D65,E65)/B65,0))</f>
        <v/>
      </c>
      <c r="H65" s="26">
        <f>Backend!J39</f>
        <v>0</v>
      </c>
      <c r="I65" s="28" t="str">
        <f t="shared" ref="I65:I74" si="4">IF(B65="","",IF(F65=0,"✅ المدخر يكفي",IFERROR(ROUNDUP(F65/H65,0)&amp;" شهر","-")))</f>
        <v/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5"/>
      <c r="B66" s="13"/>
      <c r="C66" s="14"/>
      <c r="D66" s="19">
        <f>Backend!H40</f>
        <v>0</v>
      </c>
      <c r="E66" s="11"/>
      <c r="F66" s="26">
        <f t="shared" si="2"/>
        <v>0</v>
      </c>
      <c r="G66" s="29" t="str">
        <f t="shared" si="3"/>
        <v/>
      </c>
      <c r="H66" s="26">
        <f>Backend!J40</f>
        <v>0</v>
      </c>
      <c r="I66" s="28" t="str">
        <f t="shared" si="4"/>
        <v/>
      </c>
    </row>
    <row r="67" spans="1:26" x14ac:dyDescent="0.25">
      <c r="A67" s="5"/>
      <c r="B67" s="13"/>
      <c r="C67" s="14"/>
      <c r="D67" s="19">
        <f>Backend!H41</f>
        <v>0</v>
      </c>
      <c r="E67" s="11"/>
      <c r="F67" s="26">
        <f t="shared" si="2"/>
        <v>0</v>
      </c>
      <c r="G67" s="29" t="str">
        <f t="shared" si="3"/>
        <v/>
      </c>
      <c r="H67" s="26">
        <f>Backend!J41</f>
        <v>0</v>
      </c>
      <c r="I67" s="28" t="str">
        <f t="shared" si="4"/>
        <v/>
      </c>
    </row>
    <row r="68" spans="1:26" x14ac:dyDescent="0.25">
      <c r="A68" s="5"/>
      <c r="B68" s="13"/>
      <c r="C68" s="14"/>
      <c r="D68" s="19">
        <f>Backend!H42</f>
        <v>0</v>
      </c>
      <c r="E68" s="11"/>
      <c r="F68" s="26">
        <f t="shared" si="2"/>
        <v>0</v>
      </c>
      <c r="G68" s="29" t="str">
        <f t="shared" si="3"/>
        <v/>
      </c>
      <c r="H68" s="26">
        <f>Backend!J42</f>
        <v>0</v>
      </c>
      <c r="I68" s="28" t="str">
        <f t="shared" si="4"/>
        <v/>
      </c>
    </row>
    <row r="69" spans="1:26" x14ac:dyDescent="0.25">
      <c r="A69" s="5"/>
      <c r="B69" s="13"/>
      <c r="C69" s="14"/>
      <c r="D69" s="19">
        <f>Backend!H43</f>
        <v>0</v>
      </c>
      <c r="E69" s="11"/>
      <c r="F69" s="26">
        <f t="shared" si="2"/>
        <v>0</v>
      </c>
      <c r="G69" s="29" t="str">
        <f t="shared" si="3"/>
        <v/>
      </c>
      <c r="H69" s="26">
        <f>Backend!J43</f>
        <v>0</v>
      </c>
      <c r="I69" s="28" t="str">
        <f t="shared" si="4"/>
        <v/>
      </c>
    </row>
    <row r="70" spans="1:26" x14ac:dyDescent="0.25">
      <c r="A70" s="5"/>
      <c r="B70" s="13"/>
      <c r="C70" s="14"/>
      <c r="D70" s="19">
        <f>Backend!H44</f>
        <v>0</v>
      </c>
      <c r="E70" s="11"/>
      <c r="F70" s="26">
        <f t="shared" si="2"/>
        <v>0</v>
      </c>
      <c r="G70" s="29" t="str">
        <f t="shared" si="3"/>
        <v/>
      </c>
      <c r="H70" s="26">
        <f>Backend!J44</f>
        <v>0</v>
      </c>
      <c r="I70" s="28" t="str">
        <f t="shared" si="4"/>
        <v/>
      </c>
    </row>
    <row r="71" spans="1:26" x14ac:dyDescent="0.25">
      <c r="A71" s="5"/>
      <c r="B71" s="13"/>
      <c r="C71" s="14"/>
      <c r="D71" s="19">
        <f>Backend!H45</f>
        <v>0</v>
      </c>
      <c r="E71" s="11"/>
      <c r="F71" s="26">
        <f t="shared" si="2"/>
        <v>0</v>
      </c>
      <c r="G71" s="29" t="str">
        <f t="shared" si="3"/>
        <v/>
      </c>
      <c r="H71" s="26">
        <f>Backend!J45</f>
        <v>0</v>
      </c>
      <c r="I71" s="28" t="str">
        <f t="shared" si="4"/>
        <v/>
      </c>
    </row>
    <row r="72" spans="1:26" x14ac:dyDescent="0.25">
      <c r="A72" s="5"/>
      <c r="B72" s="13"/>
      <c r="C72" s="14"/>
      <c r="D72" s="19">
        <f>Backend!H46</f>
        <v>0</v>
      </c>
      <c r="E72" s="11"/>
      <c r="F72" s="26">
        <f t="shared" si="2"/>
        <v>0</v>
      </c>
      <c r="G72" s="29" t="str">
        <f t="shared" si="3"/>
        <v/>
      </c>
      <c r="H72" s="26">
        <f>Backend!J46</f>
        <v>0</v>
      </c>
      <c r="I72" s="28" t="str">
        <f t="shared" si="4"/>
        <v/>
      </c>
    </row>
    <row r="73" spans="1:26" x14ac:dyDescent="0.25">
      <c r="A73" s="5"/>
      <c r="B73" s="13"/>
      <c r="C73" s="14"/>
      <c r="D73" s="19">
        <f>Backend!H47</f>
        <v>0</v>
      </c>
      <c r="E73" s="11"/>
      <c r="F73" s="26">
        <f t="shared" si="2"/>
        <v>0</v>
      </c>
      <c r="G73" s="29" t="str">
        <f t="shared" si="3"/>
        <v/>
      </c>
      <c r="H73" s="26">
        <f>Backend!J47</f>
        <v>0</v>
      </c>
      <c r="I73" s="28" t="str">
        <f t="shared" si="4"/>
        <v/>
      </c>
    </row>
    <row r="74" spans="1:26" x14ac:dyDescent="0.25">
      <c r="A74" s="5"/>
      <c r="B74" s="13"/>
      <c r="C74" s="14"/>
      <c r="D74" s="19">
        <f>Backend!H48</f>
        <v>0</v>
      </c>
      <c r="E74" s="11"/>
      <c r="F74" s="26">
        <f t="shared" si="2"/>
        <v>0</v>
      </c>
      <c r="G74" s="29" t="str">
        <f t="shared" si="3"/>
        <v/>
      </c>
      <c r="H74" s="26">
        <f>Backend!J48</f>
        <v>0</v>
      </c>
      <c r="I74" s="28" t="str">
        <f t="shared" si="4"/>
        <v/>
      </c>
    </row>
    <row r="75" spans="1:26" x14ac:dyDescent="0.25">
      <c r="A75" s="32" t="s">
        <v>36</v>
      </c>
      <c r="B75" s="30">
        <f>SUM(B65:B74)</f>
        <v>0</v>
      </c>
      <c r="C75" s="31">
        <f>SUMIFS(C65:C74,E65:E74,"",B65:B74,"&gt;0")</f>
        <v>0</v>
      </c>
      <c r="D75" s="30">
        <f>SUM(D65:D74)</f>
        <v>0</v>
      </c>
      <c r="E75" s="30">
        <f>SUM(E65:E74)</f>
        <v>0</v>
      </c>
      <c r="F75" s="30">
        <f>SUM(F65:F74)</f>
        <v>0</v>
      </c>
      <c r="G75" s="31">
        <f>IFERROR((B75-F75)/B75,0)</f>
        <v>0</v>
      </c>
      <c r="H75" s="30">
        <f>SUM(H65:H74)</f>
        <v>0</v>
      </c>
      <c r="I75" s="32" t="str">
        <f>IF(B75=0,"",IF(F75=0,"✅ المدخر يكفي كل الأهداف","⏳ لسه فيه أهداف ناقصة"))</f>
        <v/>
      </c>
    </row>
    <row r="76" spans="1:26" x14ac:dyDescent="0.25">
      <c r="D76" s="102">
        <f>D75+E75</f>
        <v>0</v>
      </c>
      <c r="E76" s="103"/>
    </row>
  </sheetData>
  <sheetProtection sheet="1" objects="1" scenarios="1" formatCells="0" formatColumns="0" formatRows="0" autoFilter="0"/>
  <mergeCells count="23">
    <mergeCell ref="D76:E76"/>
    <mergeCell ref="J27:K27"/>
    <mergeCell ref="J28:K28"/>
    <mergeCell ref="J29:K29"/>
    <mergeCell ref="I2:K2"/>
    <mergeCell ref="J25:K25"/>
    <mergeCell ref="J26:K26"/>
    <mergeCell ref="A55:G55"/>
    <mergeCell ref="A51:E51"/>
    <mergeCell ref="A52:E52"/>
    <mergeCell ref="A53:E53"/>
    <mergeCell ref="I31:K31"/>
    <mergeCell ref="A1:L1"/>
    <mergeCell ref="I21:K21"/>
    <mergeCell ref="J22:K22"/>
    <mergeCell ref="J23:K23"/>
    <mergeCell ref="J24:K24"/>
    <mergeCell ref="A2:B2"/>
    <mergeCell ref="I3:K3"/>
    <mergeCell ref="J11:K11"/>
    <mergeCell ref="A3:B3"/>
    <mergeCell ref="A13:F13"/>
    <mergeCell ref="I13:K13"/>
  </mergeCells>
  <conditionalFormatting sqref="B61">
    <cfRule type="cellIs" dxfId="17" priority="10" operator="lessThan">
      <formula>0</formula>
    </cfRule>
  </conditionalFormatting>
  <conditionalFormatting sqref="B62">
    <cfRule type="beginsWith" dxfId="16" priority="11" operator="beginsWith" text="✅">
      <formula>LEFT(B62,LEN("✅"))="✅"</formula>
    </cfRule>
    <cfRule type="beginsWith" dxfId="15" priority="12" operator="beginsWith" text="❌">
      <formula>LEFT(B62,LEN("❌"))="❌"</formula>
    </cfRule>
  </conditionalFormatting>
  <conditionalFormatting sqref="C65:C74">
    <cfRule type="expression" dxfId="14" priority="23">
      <formula>$E65&lt;&gt;""</formula>
    </cfRule>
  </conditionalFormatting>
  <conditionalFormatting sqref="C75">
    <cfRule type="cellIs" dxfId="13" priority="22" operator="greaterThan">
      <formula>1</formula>
    </cfRule>
  </conditionalFormatting>
  <conditionalFormatting sqref="G15:G49">
    <cfRule type="containsText" dxfId="12" priority="24" operator="containsText" text="تم الدفع">
      <formula>NOT(ISERROR(SEARCH("تم الدفع",G15)))</formula>
    </cfRule>
    <cfRule type="containsText" dxfId="11" priority="25" operator="containsText" text="لم يُدفع">
      <formula>NOT(ISERROR(SEARCH("لم يُدفع",G15)))</formula>
    </cfRule>
  </conditionalFormatting>
  <conditionalFormatting sqref="I33:K41">
    <cfRule type="expression" dxfId="10" priority="27">
      <formula>$J33="⚠️ نشط"</formula>
    </cfRule>
  </conditionalFormatting>
  <conditionalFormatting sqref="J10">
    <cfRule type="cellIs" dxfId="9" priority="14" operator="lessThan">
      <formula>0</formula>
    </cfRule>
    <cfRule type="cellIs" dxfId="8" priority="15" operator="greaterThanOrEqual">
      <formula>0</formula>
    </cfRule>
  </conditionalFormatting>
  <conditionalFormatting sqref="J11">
    <cfRule type="beginsWith" dxfId="7" priority="16" operator="beginsWith" text="🟢">
      <formula>LEFT(J11,LEN("🟢"))="🟢"</formula>
    </cfRule>
    <cfRule type="beginsWith" dxfId="6" priority="17" operator="beginsWith" text="🟡">
      <formula>LEFT(J11,LEN("🟡"))="🟡"</formula>
    </cfRule>
    <cfRule type="beginsWith" dxfId="5" priority="18" operator="beginsWith" text="🟠">
      <formula>LEFT(J11,LEN("🟠"))="🟠"</formula>
    </cfRule>
    <cfRule type="beginsWith" dxfId="4" priority="19" operator="beginsWith" text="🔴">
      <formula>LEFT(J11,LEN("🔴"))="🔴"</formula>
    </cfRule>
  </conditionalFormatting>
  <conditionalFormatting sqref="J28">
    <cfRule type="beginsWith" dxfId="3" priority="20" operator="beginsWith" text="✅">
      <formula>LEFT(J28,LEN("✅"))="✅"</formula>
    </cfRule>
    <cfRule type="beginsWith" dxfId="2" priority="21" operator="beginsWith" text="⚠">
      <formula>LEFT(J28,LEN("⚠"))="⚠"</formula>
    </cfRule>
  </conditionalFormatting>
  <conditionalFormatting sqref="J33:J41">
    <cfRule type="expression" dxfId="1" priority="28">
      <formula>$J33="✅ تمام"</formula>
    </cfRule>
  </conditionalFormatting>
  <dataValidations count="4">
    <dataValidation type="list" allowBlank="1" showInputMessage="1" showErrorMessage="1" sqref="B15:B49" xr:uid="{4B116415-FDF2-48E6-8164-3B6D8F18D835}">
      <formula1>TypesList</formula1>
    </dataValidation>
    <dataValidation type="custom" allowBlank="1" showInputMessage="1" showErrorMessage="1" errorTitle="توزيع يدوي" error="مجموع التوزيع اليدوي أكبر من إجمالي المدخر" sqref="E65:E74" xr:uid="{575967AD-56A2-4F72-9311-52A2699AF656}">
      <formula1>SUM($E$65:$E$74)&lt;=$B$59</formula1>
    </dataValidation>
    <dataValidation type="custom" allowBlank="1" showInputMessage="1" showErrorMessage="1" errorTitle="الأولوية" error="إجمالي الأولوية لا يمكن أن يتجاوز 100%" sqref="C65:C74" xr:uid="{C1BF859E-9B7B-47C7-899F-690D76D59A2A}">
      <formula1>AND(ISNUMBER(C65),C65&gt;=0,SUMIFS($C$65:$C$74,$E$65:$E$74,"",$B$65:$B$74,"&gt;0")&lt;=1)</formula1>
    </dataValidation>
    <dataValidation type="list" allowBlank="1" showInputMessage="1" showErrorMessage="1" sqref="G15:G49" xr:uid="{C8C22A63-B719-43D7-BAEE-BE8BF7B468F2}">
      <formula1>"✅ تم الدفع,⏳ لم يُدفع"</formula1>
    </dataValidation>
  </dataValidations>
  <pageMargins left="0.7" right="0.7" top="0.75" bottom="0.75" header="0.3" footer="0.3"/>
  <pageSetup scale="36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4B6627D9-699F-4315-8DD0-4BB9EC55B920}">
            <xm:f>$K$8&gt;Backend!$D$7</xm:f>
            <x14:dxf>
              <font>
                <b/>
                <i val="0"/>
                <color rgb="FFC00000"/>
              </font>
            </x14:dxf>
          </x14:cfRule>
          <xm:sqref>J8:K8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64B0-FBB4-4EF3-B491-C45590F79E6A}">
  <dimension ref="A1:J51"/>
  <sheetViews>
    <sheetView rightToLeft="1" zoomScale="130" zoomScaleNormal="130" workbookViewId="0">
      <selection activeCell="C7" sqref="C7:D7"/>
    </sheetView>
  </sheetViews>
  <sheetFormatPr defaultRowHeight="15" x14ac:dyDescent="0.25"/>
  <cols>
    <col min="1" max="1" width="24.7109375" style="35" customWidth="1"/>
    <col min="2" max="2" width="3.85546875" style="35" customWidth="1"/>
    <col min="3" max="3" width="44" style="35" bestFit="1" customWidth="1"/>
    <col min="4" max="5" width="18.140625" style="35" customWidth="1"/>
    <col min="6" max="6" width="19" style="35" bestFit="1" customWidth="1"/>
    <col min="7" max="7" width="26.7109375" style="35" customWidth="1"/>
    <col min="8" max="9" width="18.140625" style="35" customWidth="1"/>
    <col min="10" max="16384" width="9.140625" style="35"/>
  </cols>
  <sheetData>
    <row r="1" spans="1:10" ht="15.75" x14ac:dyDescent="0.25">
      <c r="A1" s="62" t="s">
        <v>47</v>
      </c>
      <c r="B1" s="33"/>
      <c r="C1" s="63" t="s">
        <v>62</v>
      </c>
      <c r="D1" s="33"/>
      <c r="E1" s="33"/>
      <c r="F1" s="33"/>
      <c r="G1" s="33"/>
      <c r="H1" s="33"/>
      <c r="I1" s="33"/>
      <c r="J1" s="34"/>
    </row>
    <row r="2" spans="1:10" x14ac:dyDescent="0.25">
      <c r="A2" s="36" t="s">
        <v>48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ht="15.75" x14ac:dyDescent="0.25">
      <c r="A3" s="36" t="s">
        <v>46</v>
      </c>
      <c r="B3" s="33"/>
      <c r="C3" s="112" t="s">
        <v>23</v>
      </c>
      <c r="D3" s="113"/>
      <c r="E3" s="33"/>
      <c r="F3" s="33"/>
      <c r="G3" s="116" t="s">
        <v>56</v>
      </c>
      <c r="H3" s="117"/>
      <c r="I3" s="117"/>
      <c r="J3" s="34"/>
    </row>
    <row r="4" spans="1:10" x14ac:dyDescent="0.25">
      <c r="A4" s="36" t="s">
        <v>12</v>
      </c>
      <c r="B4" s="33"/>
      <c r="C4" s="44" t="s">
        <v>19</v>
      </c>
      <c r="D4" s="38">
        <v>0.2</v>
      </c>
      <c r="E4" s="33"/>
      <c r="F4" s="33"/>
      <c r="G4" s="64" t="s">
        <v>3</v>
      </c>
      <c r="H4" s="64" t="s">
        <v>6</v>
      </c>
      <c r="I4" s="64" t="s">
        <v>72</v>
      </c>
      <c r="J4" s="34"/>
    </row>
    <row r="5" spans="1:10" x14ac:dyDescent="0.25">
      <c r="A5" s="36" t="s">
        <v>13</v>
      </c>
      <c r="B5" s="33"/>
      <c r="C5" s="44" t="s">
        <v>20</v>
      </c>
      <c r="D5" s="38">
        <v>0.1</v>
      </c>
      <c r="E5" s="33"/>
      <c r="F5" s="33"/>
      <c r="G5" s="44" t="str">
        <f t="shared" ref="G5:G10" si="0">A2</f>
        <v>طوارئ</v>
      </c>
      <c r="H5" s="42">
        <f>SUMIF(Dashboard!$B$15:$B$49,G5,Dashboard!$F$15:$F$49)</f>
        <v>0</v>
      </c>
      <c r="I5" s="43">
        <f>IFERROR(H5/Dashboard!$J$5,0)</f>
        <v>0</v>
      </c>
      <c r="J5" s="34"/>
    </row>
    <row r="6" spans="1:10" x14ac:dyDescent="0.25">
      <c r="A6" s="36" t="s">
        <v>14</v>
      </c>
      <c r="B6" s="33"/>
      <c r="C6" s="44" t="s">
        <v>21</v>
      </c>
      <c r="D6" s="38">
        <v>0.33</v>
      </c>
      <c r="E6" s="33"/>
      <c r="F6" s="33"/>
      <c r="G6" s="44" t="str">
        <f t="shared" si="0"/>
        <v>ادخار</v>
      </c>
      <c r="H6" s="42">
        <f>SUMIF(Dashboard!$B$15:$B$49,G6,Dashboard!$F$15:$F$49)</f>
        <v>0</v>
      </c>
      <c r="I6" s="43">
        <f>IFERROR(H6/Dashboard!$J$5,0)</f>
        <v>0</v>
      </c>
      <c r="J6" s="34"/>
    </row>
    <row r="7" spans="1:10" x14ac:dyDescent="0.25">
      <c r="A7" s="36" t="s">
        <v>69</v>
      </c>
      <c r="B7" s="33"/>
      <c r="C7" s="65" t="s">
        <v>22</v>
      </c>
      <c r="D7" s="39">
        <v>0.3</v>
      </c>
      <c r="E7" s="33"/>
      <c r="F7" s="33"/>
      <c r="G7" s="44" t="str">
        <f t="shared" si="0"/>
        <v>كمالي</v>
      </c>
      <c r="H7" s="42">
        <f>SUMIF(Dashboard!$B$15:$B$49,G7,Dashboard!$F$15:$F$49)</f>
        <v>0</v>
      </c>
      <c r="I7" s="43">
        <f>IFERROR(H7/Dashboard!$J$5,0)</f>
        <v>0</v>
      </c>
      <c r="J7" s="34"/>
    </row>
    <row r="8" spans="1:10" x14ac:dyDescent="0.25">
      <c r="A8" s="40" t="s">
        <v>70</v>
      </c>
      <c r="B8" s="33"/>
      <c r="C8" s="44" t="s">
        <v>29</v>
      </c>
      <c r="D8" s="38">
        <v>0.3</v>
      </c>
      <c r="E8" s="33"/>
      <c r="F8" s="33"/>
      <c r="G8" s="44" t="str">
        <f t="shared" si="0"/>
        <v>دين/أقساط</v>
      </c>
      <c r="H8" s="42">
        <f>SUMIF(Dashboard!$B$15:$B$49,G8,Dashboard!$F$15:$F$49)</f>
        <v>0</v>
      </c>
      <c r="I8" s="43">
        <f>IFERROR(H8/Dashboard!$J$5,0)</f>
        <v>0</v>
      </c>
      <c r="J8" s="34"/>
    </row>
    <row r="9" spans="1:10" x14ac:dyDescent="0.25">
      <c r="A9" s="36" t="s">
        <v>71</v>
      </c>
      <c r="B9" s="33"/>
      <c r="C9" s="33"/>
      <c r="D9" s="33"/>
      <c r="E9" s="33"/>
      <c r="F9" s="33"/>
      <c r="G9" s="44" t="str">
        <f t="shared" si="0"/>
        <v>أساسي</v>
      </c>
      <c r="H9" s="42">
        <f>SUMIF(Dashboard!$B$15:$B$49,G9,Dashboard!$F$15:$F$49)</f>
        <v>0</v>
      </c>
      <c r="I9" s="43">
        <f>IFERROR(H9/Dashboard!$J$5,0)</f>
        <v>0</v>
      </c>
      <c r="J9" s="34"/>
    </row>
    <row r="10" spans="1:10" ht="15.75" x14ac:dyDescent="0.25">
      <c r="A10" s="36"/>
      <c r="B10" s="33"/>
      <c r="C10" s="114" t="s">
        <v>37</v>
      </c>
      <c r="D10" s="115"/>
      <c r="E10" s="115"/>
      <c r="F10" s="33"/>
      <c r="G10" s="44" t="str">
        <f t="shared" si="0"/>
        <v>العطاء والمساندة</v>
      </c>
      <c r="H10" s="42">
        <f>SUMIF(Dashboard!$B$15:$B$49,G10,Dashboard!$F$15:$F$49)</f>
        <v>0</v>
      </c>
      <c r="I10" s="43">
        <f>IFERROR(H10/Dashboard!$J$5,0)</f>
        <v>0</v>
      </c>
      <c r="J10" s="34"/>
    </row>
    <row r="11" spans="1:10" x14ac:dyDescent="0.25">
      <c r="A11" s="36"/>
      <c r="B11" s="33"/>
      <c r="C11" s="66" t="s">
        <v>81</v>
      </c>
      <c r="D11" s="38">
        <v>0.2</v>
      </c>
      <c r="E11" s="33"/>
      <c r="F11" s="33"/>
      <c r="G11" s="44" t="str">
        <f t="shared" ref="G11:G12" si="1">A8</f>
        <v>تحويل خارجي</v>
      </c>
      <c r="H11" s="42">
        <f>SUMIF(Dashboard!$B$15:$B$49,G11,Dashboard!$F$15:$F$49)</f>
        <v>0</v>
      </c>
      <c r="I11" s="43">
        <f>IFERROR(H11/Dashboard!$J$5,0)</f>
        <v>0</v>
      </c>
      <c r="J11" s="34"/>
    </row>
    <row r="12" spans="1:10" x14ac:dyDescent="0.25">
      <c r="A12" s="36"/>
      <c r="B12" s="33"/>
      <c r="C12" s="66" t="s">
        <v>42</v>
      </c>
      <c r="D12" s="38">
        <v>0.5</v>
      </c>
      <c r="E12" s="33"/>
      <c r="F12" s="33"/>
      <c r="G12" s="44" t="str">
        <f t="shared" si="1"/>
        <v>الاستثمار</v>
      </c>
      <c r="H12" s="42">
        <f>SUMIF(Dashboard!$B$15:$B$49,G12,Dashboard!$F$15:$F$49)</f>
        <v>0</v>
      </c>
      <c r="I12" s="43">
        <f>IFERROR(H12/Dashboard!$J$5,0)</f>
        <v>0</v>
      </c>
      <c r="J12" s="34"/>
    </row>
    <row r="13" spans="1:10" x14ac:dyDescent="0.25">
      <c r="A13" s="36"/>
      <c r="B13" s="33"/>
      <c r="C13" s="33"/>
      <c r="D13" s="33"/>
      <c r="E13" s="33"/>
      <c r="F13" s="33"/>
      <c r="G13" s="44" t="s">
        <v>57</v>
      </c>
      <c r="H13" s="42">
        <f>MAX(0,Dashboard!J10)</f>
        <v>0</v>
      </c>
      <c r="I13" s="43">
        <f>IFERROR(H13/Dashboard!$J$5,0)</f>
        <v>0</v>
      </c>
      <c r="J13" s="34"/>
    </row>
    <row r="14" spans="1:10" x14ac:dyDescent="0.25">
      <c r="A14" s="36"/>
      <c r="B14" s="33"/>
      <c r="C14" s="67" t="s">
        <v>3</v>
      </c>
      <c r="D14" s="67" t="s">
        <v>6</v>
      </c>
      <c r="E14" s="67" t="s">
        <v>38</v>
      </c>
      <c r="F14" s="33"/>
      <c r="G14" s="34"/>
      <c r="H14" s="34"/>
      <c r="J14" s="34"/>
    </row>
    <row r="15" spans="1:10" x14ac:dyDescent="0.25">
      <c r="A15" s="36"/>
      <c r="B15" s="33"/>
      <c r="C15" s="68" t="s">
        <v>104</v>
      </c>
      <c r="D15" s="42">
        <f>MAX(0,Dashboard!J10-Dashboard!B58)</f>
        <v>0</v>
      </c>
      <c r="E15" s="45">
        <f>IFERROR(D15/$D$28,0)</f>
        <v>0</v>
      </c>
      <c r="F15" s="33"/>
      <c r="G15" s="34"/>
      <c r="H15" s="34"/>
      <c r="I15" s="33"/>
      <c r="J15" s="34"/>
    </row>
    <row r="16" spans="1:10" x14ac:dyDescent="0.25">
      <c r="A16" s="33"/>
      <c r="B16" s="33"/>
      <c r="C16" s="59" t="s">
        <v>43</v>
      </c>
      <c r="D16" s="42">
        <f>MIN(MAX(0,D30-D31),D15)</f>
        <v>0</v>
      </c>
      <c r="E16" s="45">
        <f>IFERROR(D16/$D$28,0)</f>
        <v>0</v>
      </c>
      <c r="F16" s="33"/>
      <c r="G16" s="34"/>
      <c r="H16" s="34"/>
      <c r="I16" s="33"/>
      <c r="J16" s="34"/>
    </row>
    <row r="17" spans="1:10" ht="15" customHeight="1" x14ac:dyDescent="0.25">
      <c r="B17" s="33"/>
      <c r="C17" s="59" t="s">
        <v>44</v>
      </c>
      <c r="D17" s="42">
        <f>MIN(MAX(0,D33-D34),D15-D16)</f>
        <v>0</v>
      </c>
      <c r="E17" s="45">
        <f>IFERROR(D17/$D$28,0)</f>
        <v>0</v>
      </c>
      <c r="F17" s="33"/>
      <c r="G17" s="34"/>
      <c r="H17" s="34"/>
      <c r="I17" s="33"/>
      <c r="J17" s="34"/>
    </row>
    <row r="18" spans="1:10" ht="17.25" x14ac:dyDescent="0.25">
      <c r="A18" s="33"/>
      <c r="B18" s="33"/>
      <c r="C18" s="57" t="s">
        <v>45</v>
      </c>
      <c r="D18" s="47">
        <f>D15-D16-D17</f>
        <v>0</v>
      </c>
      <c r="E18" s="46">
        <f>IFERROR(D18/$D$28,0)</f>
        <v>0</v>
      </c>
      <c r="F18" s="33"/>
      <c r="G18" s="34"/>
      <c r="H18" s="34"/>
      <c r="I18" s="33"/>
      <c r="J18" s="34"/>
    </row>
    <row r="19" spans="1:10" x14ac:dyDescent="0.25">
      <c r="A19" s="33"/>
      <c r="B19" s="33"/>
      <c r="C19" s="69" t="s">
        <v>39</v>
      </c>
      <c r="D19" s="48">
        <f>D18/30</f>
        <v>0</v>
      </c>
      <c r="E19" s="37"/>
      <c r="F19" s="33"/>
      <c r="G19" s="34"/>
      <c r="H19" s="34"/>
      <c r="I19" s="33"/>
      <c r="J19" s="34"/>
    </row>
    <row r="20" spans="1:10" x14ac:dyDescent="0.25">
      <c r="A20" s="33"/>
      <c r="B20" s="33"/>
      <c r="C20" s="69" t="s">
        <v>40</v>
      </c>
      <c r="D20" s="48">
        <f>D18/30*7</f>
        <v>0</v>
      </c>
      <c r="E20" s="37"/>
      <c r="F20" s="33"/>
      <c r="G20" s="34"/>
      <c r="H20" s="34"/>
      <c r="I20" s="33"/>
      <c r="J20" s="34"/>
    </row>
    <row r="21" spans="1:10" x14ac:dyDescent="0.25">
      <c r="A21" s="33"/>
      <c r="B21" s="33"/>
      <c r="C21" s="68" t="s">
        <v>41</v>
      </c>
      <c r="D21" s="49">
        <f>IFERROR(D18/Dashboard!J5,0)</f>
        <v>0</v>
      </c>
      <c r="E21" s="37"/>
      <c r="F21" s="33"/>
      <c r="G21" s="34"/>
      <c r="H21" s="34"/>
      <c r="I21" s="33"/>
      <c r="J21" s="34"/>
    </row>
    <row r="22" spans="1:10" x14ac:dyDescent="0.25">
      <c r="A22" s="33"/>
      <c r="B22" s="34"/>
      <c r="C22" s="59" t="s">
        <v>105</v>
      </c>
      <c r="D22" s="42">
        <f>MIN(Dashboard!B58,MAX(0,Dashboard!J10))</f>
        <v>0</v>
      </c>
      <c r="E22" s="45"/>
      <c r="F22" s="34"/>
      <c r="G22" s="34"/>
      <c r="H22" s="34"/>
      <c r="I22" s="34"/>
      <c r="J22" s="34"/>
    </row>
    <row r="23" spans="1:10" x14ac:dyDescent="0.25">
      <c r="A23" s="33"/>
      <c r="B23" s="34"/>
      <c r="C23" s="64" t="s">
        <v>58</v>
      </c>
      <c r="D23" s="64" t="s">
        <v>59</v>
      </c>
      <c r="E23" s="64" t="s">
        <v>33</v>
      </c>
      <c r="F23" s="34"/>
      <c r="G23" s="34"/>
      <c r="H23" s="34"/>
      <c r="I23" s="34"/>
      <c r="J23" s="34"/>
    </row>
    <row r="24" spans="1:10" x14ac:dyDescent="0.25">
      <c r="A24" s="33"/>
      <c r="B24" s="34"/>
      <c r="C24" s="44" t="s">
        <v>24</v>
      </c>
      <c r="D24" s="42">
        <f>MIN(Dashboard!J24,Dashboard!J25)</f>
        <v>0</v>
      </c>
      <c r="E24" s="42">
        <f>Dashboard!J27</f>
        <v>0</v>
      </c>
      <c r="F24" s="34"/>
      <c r="G24" s="34"/>
      <c r="H24" s="34"/>
      <c r="I24" s="34"/>
      <c r="J24" s="34"/>
    </row>
    <row r="25" spans="1:10" x14ac:dyDescent="0.25">
      <c r="A25" s="33"/>
      <c r="B25" s="34"/>
      <c r="C25" s="44" t="s">
        <v>30</v>
      </c>
      <c r="D25" s="42">
        <f>Dashboard!B60</f>
        <v>0</v>
      </c>
      <c r="E25" s="42">
        <f>Dashboard!D75</f>
        <v>0</v>
      </c>
      <c r="F25" s="34"/>
      <c r="G25" s="34"/>
      <c r="H25" s="34"/>
      <c r="I25" s="34"/>
      <c r="J25" s="34"/>
    </row>
    <row r="26" spans="1:10" x14ac:dyDescent="0.25">
      <c r="A26" s="41"/>
    </row>
    <row r="27" spans="1:10" x14ac:dyDescent="0.25">
      <c r="A27" s="41"/>
      <c r="C27" s="118" t="s">
        <v>73</v>
      </c>
      <c r="D27" s="119"/>
      <c r="E27" s="120"/>
    </row>
    <row r="28" spans="1:10" x14ac:dyDescent="0.25">
      <c r="A28" s="41"/>
      <c r="C28" s="70" t="s">
        <v>74</v>
      </c>
      <c r="D28" s="125">
        <f>MAX(0,Dashboard!J10-Dashboard!B58+Dashboard!J23+Dashboard!B57)</f>
        <v>0</v>
      </c>
      <c r="E28" s="126"/>
    </row>
    <row r="29" spans="1:10" x14ac:dyDescent="0.25">
      <c r="A29" s="41"/>
      <c r="C29" s="71" t="s">
        <v>75</v>
      </c>
      <c r="D29" s="127">
        <f>MAX(0,Dashboard!J25-Dashboard!J22)</f>
        <v>0</v>
      </c>
      <c r="E29" s="128"/>
    </row>
    <row r="30" spans="1:10" x14ac:dyDescent="0.25">
      <c r="A30" s="41"/>
      <c r="C30" s="71" t="s">
        <v>79</v>
      </c>
      <c r="D30" s="127">
        <f>MIN(D29,D28*D8)</f>
        <v>0</v>
      </c>
      <c r="E30" s="128"/>
    </row>
    <row r="31" spans="1:10" x14ac:dyDescent="0.25">
      <c r="C31" s="71" t="s">
        <v>76</v>
      </c>
      <c r="D31" s="127">
        <f>Dashboard!J23</f>
        <v>0</v>
      </c>
      <c r="E31" s="128"/>
    </row>
    <row r="32" spans="1:10" x14ac:dyDescent="0.25">
      <c r="C32" s="71" t="s">
        <v>77</v>
      </c>
      <c r="D32" s="129">
        <f>IF(D29=0,D12,D11)</f>
        <v>0.5</v>
      </c>
      <c r="E32" s="130"/>
    </row>
    <row r="33" spans="3:10" x14ac:dyDescent="0.25">
      <c r="C33" s="71" t="s">
        <v>80</v>
      </c>
      <c r="D33" s="131">
        <f>D28*D32</f>
        <v>0</v>
      </c>
      <c r="E33" s="132"/>
    </row>
    <row r="34" spans="3:10" x14ac:dyDescent="0.25">
      <c r="C34" s="71" t="s">
        <v>78</v>
      </c>
      <c r="D34" s="121">
        <f>Dashboard!B57</f>
        <v>0</v>
      </c>
      <c r="E34" s="122"/>
    </row>
    <row r="37" spans="3:10" x14ac:dyDescent="0.25">
      <c r="C37" s="123" t="s">
        <v>95</v>
      </c>
      <c r="D37" s="124"/>
      <c r="E37" s="124"/>
      <c r="F37" s="124"/>
      <c r="G37" s="124"/>
      <c r="H37" s="124"/>
      <c r="I37" s="124"/>
      <c r="J37" s="124"/>
    </row>
    <row r="38" spans="3:10" ht="30" x14ac:dyDescent="0.25">
      <c r="C38" s="72" t="s">
        <v>31</v>
      </c>
      <c r="D38" s="72" t="s">
        <v>93</v>
      </c>
      <c r="E38" s="72" t="s">
        <v>87</v>
      </c>
      <c r="F38" s="72" t="s">
        <v>88</v>
      </c>
      <c r="G38" s="72" t="s">
        <v>89</v>
      </c>
      <c r="H38" s="72" t="s">
        <v>90</v>
      </c>
      <c r="I38" s="72" t="s">
        <v>91</v>
      </c>
      <c r="J38" s="72" t="s">
        <v>35</v>
      </c>
    </row>
    <row r="39" spans="3:10" x14ac:dyDescent="0.25">
      <c r="C39" s="44" t="str">
        <f>IF(Dashboard!A65="","",Dashboard!A65)</f>
        <v/>
      </c>
      <c r="D39" s="49">
        <f>IF(OR(N(Dashboard!B65)&lt;=0,Dashboard!E65&lt;&gt;""),0,IF(Dashboard!C65="",IFERROR(MAX(0,1-SUMIFS(Dashboard!$C$65:$C$74,Dashboard!$E$65:$E$74,""))/COUNTIFS(Dashboard!$B$65:$B$74,"&gt;0",Dashboard!$C$65:$C$74,"",Dashboard!$E$65:$E$74,""),0),Dashboard!C65))</f>
        <v>0</v>
      </c>
      <c r="E39" s="42">
        <f>IFERROR(MIN(N(Dashboard!B65),$D$51*D39/MAX(1,SUM($D$39:$D$48))),0)</f>
        <v>0</v>
      </c>
      <c r="F39" s="44">
        <f>IF(E39&lt;N(Dashboard!B65),D39,0)</f>
        <v>0</v>
      </c>
      <c r="G39" s="42">
        <f>IFERROR(MIN(N(Dashboard!B65)-E39,($D$51*MIN(1,SUM($D$39:$D$48))-SUM($E$39:$E$48))*F39/SUM($F$39:$F$48)),0)</f>
        <v>0</v>
      </c>
      <c r="H39" s="42">
        <f t="shared" ref="H39:H48" si="2">E39+G39</f>
        <v>0</v>
      </c>
      <c r="I39" s="44">
        <f>IF(Dashboard!F65&gt;0,D39,0)</f>
        <v>0</v>
      </c>
      <c r="J39" s="42">
        <f>IFERROR(MIN(Dashboard!F65,$D$50*IF(SUM($I$39:$I$48)&gt;0,I39/SUM($I$39:$I$48),(Dashboard!F65&gt;0)/COUNTIF(Dashboard!$F$65:$F$74,"&gt;0"))),0)</f>
        <v>0</v>
      </c>
    </row>
    <row r="40" spans="3:10" x14ac:dyDescent="0.25">
      <c r="C40" s="44" t="str">
        <f>IF(Dashboard!A66="","",Dashboard!A66)</f>
        <v/>
      </c>
      <c r="D40" s="49">
        <f>IF(OR(N(Dashboard!B66)&lt;=0,Dashboard!E66&lt;&gt;""),0,IF(Dashboard!C66="",IFERROR(MAX(0,1-SUMIFS(Dashboard!$C$65:$C$74,Dashboard!$E$65:$E$74,""))/COUNTIFS(Dashboard!$B$65:$B$74,"&gt;0",Dashboard!$C$65:$C$74,"",Dashboard!$E$65:$E$74,""),0),Dashboard!C66))</f>
        <v>0</v>
      </c>
      <c r="E40" s="42">
        <f>IFERROR(MIN(N(Dashboard!B66),$D$51*D40/MAX(1,SUM($D$39:$D$48))),0)</f>
        <v>0</v>
      </c>
      <c r="F40" s="44">
        <f>IF(E40&lt;N(Dashboard!B66),D40,0)</f>
        <v>0</v>
      </c>
      <c r="G40" s="42">
        <f>IFERROR(MIN(N(Dashboard!B66)-E40,($D$51*MIN(1,SUM($D$39:$D$48))-SUM($E$39:$E$48))*F40/SUM($F$39:$F$48)),0)</f>
        <v>0</v>
      </c>
      <c r="H40" s="42">
        <f t="shared" si="2"/>
        <v>0</v>
      </c>
      <c r="I40" s="44">
        <f>IF(Dashboard!F66&gt;0,D40,0)</f>
        <v>0</v>
      </c>
      <c r="J40" s="42">
        <f>IFERROR(MIN(Dashboard!F66,$D$50*IF(SUM($I$39:$I$48)&gt;0,I40/SUM($I$39:$I$48),(Dashboard!F66&gt;0)/COUNTIF(Dashboard!$F$65:$F$74,"&gt;0"))),0)</f>
        <v>0</v>
      </c>
    </row>
    <row r="41" spans="3:10" x14ac:dyDescent="0.25">
      <c r="C41" s="44" t="str">
        <f>IF(Dashboard!A67="","",Dashboard!A67)</f>
        <v/>
      </c>
      <c r="D41" s="49">
        <f>IF(OR(N(Dashboard!B67)&lt;=0,Dashboard!E67&lt;&gt;""),0,IF(Dashboard!C67="",IFERROR(MAX(0,1-SUMIFS(Dashboard!$C$65:$C$74,Dashboard!$E$65:$E$74,""))/COUNTIFS(Dashboard!$B$65:$B$74,"&gt;0",Dashboard!$C$65:$C$74,"",Dashboard!$E$65:$E$74,""),0),Dashboard!C67))</f>
        <v>0</v>
      </c>
      <c r="E41" s="42">
        <f>IFERROR(MIN(N(Dashboard!B67),$D$51*D41/MAX(1,SUM($D$39:$D$48))),0)</f>
        <v>0</v>
      </c>
      <c r="F41" s="44">
        <f>IF(E41&lt;N(Dashboard!B67),D41,0)</f>
        <v>0</v>
      </c>
      <c r="G41" s="42">
        <f>IFERROR(MIN(N(Dashboard!B67)-E41,($D$51*MIN(1,SUM($D$39:$D$48))-SUM($E$39:$E$48))*F41/SUM($F$39:$F$48)),0)</f>
        <v>0</v>
      </c>
      <c r="H41" s="42">
        <f t="shared" si="2"/>
        <v>0</v>
      </c>
      <c r="I41" s="44">
        <f>IF(Dashboard!F67&gt;0,D41,0)</f>
        <v>0</v>
      </c>
      <c r="J41" s="42">
        <f>IFERROR(MIN(Dashboard!F67,$D$50*IF(SUM($I$39:$I$48)&gt;0,I41/SUM($I$39:$I$48),(Dashboard!F67&gt;0)/COUNTIF(Dashboard!$F$65:$F$74,"&gt;0"))),0)</f>
        <v>0</v>
      </c>
    </row>
    <row r="42" spans="3:10" x14ac:dyDescent="0.25">
      <c r="C42" s="44" t="str">
        <f>IF(Dashboard!A68="","",Dashboard!A68)</f>
        <v/>
      </c>
      <c r="D42" s="49">
        <f>IF(OR(N(Dashboard!B68)&lt;=0,Dashboard!E68&lt;&gt;""),0,IF(Dashboard!C68="",IFERROR(MAX(0,1-SUMIFS(Dashboard!$C$65:$C$74,Dashboard!$E$65:$E$74,""))/COUNTIFS(Dashboard!$B$65:$B$74,"&gt;0",Dashboard!$C$65:$C$74,"",Dashboard!$E$65:$E$74,""),0),Dashboard!C68))</f>
        <v>0</v>
      </c>
      <c r="E42" s="42">
        <f>IFERROR(MIN(N(Dashboard!B68),$D$51*D42/MAX(1,SUM($D$39:$D$48))),0)</f>
        <v>0</v>
      </c>
      <c r="F42" s="44">
        <f>IF(E42&lt;N(Dashboard!B68),D42,0)</f>
        <v>0</v>
      </c>
      <c r="G42" s="42">
        <f>IFERROR(MIN(N(Dashboard!B68)-E42,($D$51*MIN(1,SUM($D$39:$D$48))-SUM($E$39:$E$48))*F42/SUM($F$39:$F$48)),0)</f>
        <v>0</v>
      </c>
      <c r="H42" s="42">
        <f t="shared" si="2"/>
        <v>0</v>
      </c>
      <c r="I42" s="44">
        <f>IF(Dashboard!F68&gt;0,D42,0)</f>
        <v>0</v>
      </c>
      <c r="J42" s="42">
        <f>IFERROR(MIN(Dashboard!F68,$D$50*IF(SUM($I$39:$I$48)&gt;0,I42/SUM($I$39:$I$48),(Dashboard!F68&gt;0)/COUNTIF(Dashboard!$F$65:$F$74,"&gt;0"))),0)</f>
        <v>0</v>
      </c>
    </row>
    <row r="43" spans="3:10" x14ac:dyDescent="0.25">
      <c r="C43" s="44" t="str">
        <f>IF(Dashboard!A69="","",Dashboard!A69)</f>
        <v/>
      </c>
      <c r="D43" s="49">
        <f>IF(OR(N(Dashboard!B69)&lt;=0,Dashboard!E69&lt;&gt;""),0,IF(Dashboard!C69="",IFERROR(MAX(0,1-SUMIFS(Dashboard!$C$65:$C$74,Dashboard!$E$65:$E$74,""))/COUNTIFS(Dashboard!$B$65:$B$74,"&gt;0",Dashboard!$C$65:$C$74,"",Dashboard!$E$65:$E$74,""),0),Dashboard!C69))</f>
        <v>0</v>
      </c>
      <c r="E43" s="42">
        <f>IFERROR(MIN(N(Dashboard!B69),$D$51*D43/MAX(1,SUM($D$39:$D$48))),0)</f>
        <v>0</v>
      </c>
      <c r="F43" s="44">
        <f>IF(E43&lt;N(Dashboard!B69),D43,0)</f>
        <v>0</v>
      </c>
      <c r="G43" s="42">
        <f>IFERROR(MIN(N(Dashboard!B69)-E43,($D$51*MIN(1,SUM($D$39:$D$48))-SUM($E$39:$E$48))*F43/SUM($F$39:$F$48)),0)</f>
        <v>0</v>
      </c>
      <c r="H43" s="42">
        <f t="shared" si="2"/>
        <v>0</v>
      </c>
      <c r="I43" s="44">
        <f>IF(Dashboard!F69&gt;0,D43,0)</f>
        <v>0</v>
      </c>
      <c r="J43" s="42">
        <f>IFERROR(MIN(Dashboard!F69,$D$50*IF(SUM($I$39:$I$48)&gt;0,I43/SUM($I$39:$I$48),(Dashboard!F69&gt;0)/COUNTIF(Dashboard!$F$65:$F$74,"&gt;0"))),0)</f>
        <v>0</v>
      </c>
    </row>
    <row r="44" spans="3:10" x14ac:dyDescent="0.25">
      <c r="C44" s="44" t="str">
        <f>IF(Dashboard!A70="","",Dashboard!A70)</f>
        <v/>
      </c>
      <c r="D44" s="49">
        <f>IF(OR(N(Dashboard!B70)&lt;=0,Dashboard!E70&lt;&gt;""),0,IF(Dashboard!C70="",IFERROR(MAX(0,1-SUMIFS(Dashboard!$C$65:$C$74,Dashboard!$E$65:$E$74,""))/COUNTIFS(Dashboard!$B$65:$B$74,"&gt;0",Dashboard!$C$65:$C$74,"",Dashboard!$E$65:$E$74,""),0),Dashboard!C70))</f>
        <v>0</v>
      </c>
      <c r="E44" s="42">
        <f>IFERROR(MIN(N(Dashboard!B70),$D$51*D44/MAX(1,SUM($D$39:$D$48))),0)</f>
        <v>0</v>
      </c>
      <c r="F44" s="44">
        <f>IF(E44&lt;N(Dashboard!B70),D44,0)</f>
        <v>0</v>
      </c>
      <c r="G44" s="42">
        <f>IFERROR(MIN(N(Dashboard!B70)-E44,($D$51*MIN(1,SUM($D$39:$D$48))-SUM($E$39:$E$48))*F44/SUM($F$39:$F$48)),0)</f>
        <v>0</v>
      </c>
      <c r="H44" s="42">
        <f t="shared" si="2"/>
        <v>0</v>
      </c>
      <c r="I44" s="44">
        <f>IF(Dashboard!F70&gt;0,D44,0)</f>
        <v>0</v>
      </c>
      <c r="J44" s="42">
        <f>IFERROR(MIN(Dashboard!F70,$D$50*IF(SUM($I$39:$I$48)&gt;0,I44/SUM($I$39:$I$48),(Dashboard!F70&gt;0)/COUNTIF(Dashboard!$F$65:$F$74,"&gt;0"))),0)</f>
        <v>0</v>
      </c>
    </row>
    <row r="45" spans="3:10" x14ac:dyDescent="0.25">
      <c r="C45" s="44" t="str">
        <f>IF(Dashboard!A71="","",Dashboard!A71)</f>
        <v/>
      </c>
      <c r="D45" s="49">
        <f>IF(OR(N(Dashboard!B71)&lt;=0,Dashboard!E71&lt;&gt;""),0,IF(Dashboard!C71="",IFERROR(MAX(0,1-SUMIFS(Dashboard!$C$65:$C$74,Dashboard!$E$65:$E$74,""))/COUNTIFS(Dashboard!$B$65:$B$74,"&gt;0",Dashboard!$C$65:$C$74,"",Dashboard!$E$65:$E$74,""),0),Dashboard!C71))</f>
        <v>0</v>
      </c>
      <c r="E45" s="42">
        <f>IFERROR(MIN(N(Dashboard!B71),$D$51*D45/MAX(1,SUM($D$39:$D$48))),0)</f>
        <v>0</v>
      </c>
      <c r="F45" s="44">
        <f>IF(E45&lt;N(Dashboard!B71),D45,0)</f>
        <v>0</v>
      </c>
      <c r="G45" s="42">
        <f>IFERROR(MIN(N(Dashboard!B71)-E45,($D$51*MIN(1,SUM($D$39:$D$48))-SUM($E$39:$E$48))*F45/SUM($F$39:$F$48)),0)</f>
        <v>0</v>
      </c>
      <c r="H45" s="42">
        <f t="shared" si="2"/>
        <v>0</v>
      </c>
      <c r="I45" s="44">
        <f>IF(Dashboard!F71&gt;0,D45,0)</f>
        <v>0</v>
      </c>
      <c r="J45" s="42">
        <f>IFERROR(MIN(Dashboard!F71,$D$50*IF(SUM($I$39:$I$48)&gt;0,I45/SUM($I$39:$I$48),(Dashboard!F71&gt;0)/COUNTIF(Dashboard!$F$65:$F$74,"&gt;0"))),0)</f>
        <v>0</v>
      </c>
    </row>
    <row r="46" spans="3:10" x14ac:dyDescent="0.25">
      <c r="C46" s="44" t="str">
        <f>IF(Dashboard!A72="","",Dashboard!A72)</f>
        <v/>
      </c>
      <c r="D46" s="49">
        <f>IF(OR(N(Dashboard!B72)&lt;=0,Dashboard!E72&lt;&gt;""),0,IF(Dashboard!C72="",IFERROR(MAX(0,1-SUMIFS(Dashboard!$C$65:$C$74,Dashboard!$E$65:$E$74,""))/COUNTIFS(Dashboard!$B$65:$B$74,"&gt;0",Dashboard!$C$65:$C$74,"",Dashboard!$E$65:$E$74,""),0),Dashboard!C72))</f>
        <v>0</v>
      </c>
      <c r="E46" s="42">
        <f>IFERROR(MIN(N(Dashboard!B72),$D$51*D46/MAX(1,SUM($D$39:$D$48))),0)</f>
        <v>0</v>
      </c>
      <c r="F46" s="44">
        <f>IF(E46&lt;N(Dashboard!B72),D46,0)</f>
        <v>0</v>
      </c>
      <c r="G46" s="42">
        <f>IFERROR(MIN(N(Dashboard!B72)-E46,($D$51*MIN(1,SUM($D$39:$D$48))-SUM($E$39:$E$48))*F46/SUM($F$39:$F$48)),0)</f>
        <v>0</v>
      </c>
      <c r="H46" s="42">
        <f t="shared" si="2"/>
        <v>0</v>
      </c>
      <c r="I46" s="44">
        <f>IF(Dashboard!F72&gt;0,D46,0)</f>
        <v>0</v>
      </c>
      <c r="J46" s="42">
        <f>IFERROR(MIN(Dashboard!F72,$D$50*IF(SUM($I$39:$I$48)&gt;0,I46/SUM($I$39:$I$48),(Dashboard!F72&gt;0)/COUNTIF(Dashboard!$F$65:$F$74,"&gt;0"))),0)</f>
        <v>0</v>
      </c>
    </row>
    <row r="47" spans="3:10" x14ac:dyDescent="0.25">
      <c r="C47" s="44" t="str">
        <f>IF(Dashboard!A73="","",Dashboard!A73)</f>
        <v/>
      </c>
      <c r="D47" s="49">
        <f>IF(OR(N(Dashboard!B73)&lt;=0,Dashboard!E73&lt;&gt;""),0,IF(Dashboard!C73="",IFERROR(MAX(0,1-SUMIFS(Dashboard!$C$65:$C$74,Dashboard!$E$65:$E$74,""))/COUNTIFS(Dashboard!$B$65:$B$74,"&gt;0",Dashboard!$C$65:$C$74,"",Dashboard!$E$65:$E$74,""),0),Dashboard!C73))</f>
        <v>0</v>
      </c>
      <c r="E47" s="42">
        <f>IFERROR(MIN(N(Dashboard!B73),$D$51*D47/MAX(1,SUM($D$39:$D$48))),0)</f>
        <v>0</v>
      </c>
      <c r="F47" s="44">
        <f>IF(E47&lt;N(Dashboard!B73),D47,0)</f>
        <v>0</v>
      </c>
      <c r="G47" s="42">
        <f>IFERROR(MIN(N(Dashboard!B73)-E47,($D$51*MIN(1,SUM($D$39:$D$48))-SUM($E$39:$E$48))*F47/SUM($F$39:$F$48)),0)</f>
        <v>0</v>
      </c>
      <c r="H47" s="42">
        <f t="shared" si="2"/>
        <v>0</v>
      </c>
      <c r="I47" s="44">
        <f>IF(Dashboard!F73&gt;0,D47,0)</f>
        <v>0</v>
      </c>
      <c r="J47" s="42">
        <f>IFERROR(MIN(Dashboard!F73,$D$50*IF(SUM($I$39:$I$48)&gt;0,I47/SUM($I$39:$I$48),(Dashboard!F73&gt;0)/COUNTIF(Dashboard!$F$65:$F$74,"&gt;0"))),0)</f>
        <v>0</v>
      </c>
    </row>
    <row r="48" spans="3:10" x14ac:dyDescent="0.25">
      <c r="C48" s="44" t="str">
        <f>IF(Dashboard!A74="","",Dashboard!A74)</f>
        <v/>
      </c>
      <c r="D48" s="49">
        <f>IF(OR(N(Dashboard!B74)&lt;=0,Dashboard!E74&lt;&gt;""),0,IF(Dashboard!C74="",IFERROR(MAX(0,1-SUMIFS(Dashboard!$C$65:$C$74,Dashboard!$E$65:$E$74,""))/COUNTIFS(Dashboard!$B$65:$B$74,"&gt;0",Dashboard!$C$65:$C$74,"",Dashboard!$E$65:$E$74,""),0),Dashboard!C74))</f>
        <v>0</v>
      </c>
      <c r="E48" s="42">
        <f>IFERROR(MIN(N(Dashboard!B74),$D$51*D48/MAX(1,SUM($D$39:$D$48))),0)</f>
        <v>0</v>
      </c>
      <c r="F48" s="44">
        <f>IF(E48&lt;N(Dashboard!B74),D48,0)</f>
        <v>0</v>
      </c>
      <c r="G48" s="42">
        <f>IFERROR(MIN(N(Dashboard!B74)-E48,($D$51*MIN(1,SUM($D$39:$D$48))-SUM($E$39:$E$48))*F48/SUM($F$39:$F$48)),0)</f>
        <v>0</v>
      </c>
      <c r="H48" s="42">
        <f t="shared" si="2"/>
        <v>0</v>
      </c>
      <c r="I48" s="44">
        <f>IF(Dashboard!F74&gt;0,D48,0)</f>
        <v>0</v>
      </c>
      <c r="J48" s="42">
        <f>IFERROR(MIN(Dashboard!F74,$D$50*IF(SUM($I$39:$I$48)&gt;0,I48/SUM($I$39:$I$48),(Dashboard!F74&gt;0)/COUNTIF(Dashboard!$F$65:$F$74,"&gt;0"))),0)</f>
        <v>0</v>
      </c>
    </row>
    <row r="49" spans="3:10" x14ac:dyDescent="0.25">
      <c r="C49" s="33"/>
      <c r="D49" s="33"/>
      <c r="E49" s="33"/>
      <c r="F49" s="33"/>
      <c r="G49" s="33"/>
      <c r="H49" s="33"/>
      <c r="I49" s="33"/>
      <c r="J49" s="33"/>
    </row>
    <row r="50" spans="3:10" x14ac:dyDescent="0.25">
      <c r="C50" s="68" t="s">
        <v>92</v>
      </c>
      <c r="D50" s="50">
        <f>D17+Dashboard!B57</f>
        <v>0</v>
      </c>
      <c r="E50" s="33"/>
      <c r="F50" s="33"/>
      <c r="G50" s="33"/>
      <c r="H50" s="33"/>
      <c r="I50" s="33"/>
      <c r="J50" s="33"/>
    </row>
    <row r="51" spans="3:10" x14ac:dyDescent="0.25">
      <c r="C51" s="68" t="s">
        <v>94</v>
      </c>
      <c r="D51" s="50">
        <f>MAX(0,Dashboard!$B$59-SUM(Dashboard!$E$65:$E$74))</f>
        <v>0</v>
      </c>
    </row>
  </sheetData>
  <sheetProtection formatCells="0" formatColumns="0" formatRows="0" autoFilter="0"/>
  <mergeCells count="12">
    <mergeCell ref="C37:J37"/>
    <mergeCell ref="D28:E28"/>
    <mergeCell ref="D29:E29"/>
    <mergeCell ref="D30:E30"/>
    <mergeCell ref="D31:E31"/>
    <mergeCell ref="D32:E32"/>
    <mergeCell ref="D33:E33"/>
    <mergeCell ref="C3:D3"/>
    <mergeCell ref="C10:E10"/>
    <mergeCell ref="G3:I3"/>
    <mergeCell ref="C27:E27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Elsayed</dc:creator>
  <cp:lastModifiedBy>Abdelrahman Elsayed</cp:lastModifiedBy>
  <dcterms:created xsi:type="dcterms:W3CDTF">2026-10-27T15:41:44Z</dcterms:created>
  <dcterms:modified xsi:type="dcterms:W3CDTF">2026-10-31T05:36:30Z</dcterms:modified>
</cp:coreProperties>
</file>